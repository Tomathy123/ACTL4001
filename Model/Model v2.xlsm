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1"/>
  <workbookPr defaultThemeVersion="202300"/>
  <mc:AlternateContent xmlns:mc="http://schemas.openxmlformats.org/markup-compatibility/2006">
    <mc:Choice Requires="x15">
      <x15ac:absPath xmlns:x15ac="http://schemas.microsoft.com/office/spreadsheetml/2010/11/ac" url="/Users/arneetkalra/Desktop/ACTL4001/Model/"/>
    </mc:Choice>
  </mc:AlternateContent>
  <xr:revisionPtr revIDLastSave="0" documentId="13_ncr:1_{1C040DF1-2625-4648-970B-7A230BACF7E5}" xr6:coauthVersionLast="47" xr6:coauthVersionMax="47" xr10:uidLastSave="{00000000-0000-0000-0000-000000000000}"/>
  <bookViews>
    <workbookView xWindow="-38400" yWindow="-160" windowWidth="38400" windowHeight="21100" activeTab="7" xr2:uid="{C4102582-2674-AE48-A0AE-46CFCDBF2D17}"/>
  </bookViews>
  <sheets>
    <sheet name="Glossary" sheetId="5" r:id="rId1"/>
    <sheet name="Inputs&gt;&gt;" sheetId="6" r:id="rId2"/>
    <sheet name="mortality" sheetId="4" r:id="rId3"/>
    <sheet name="Avg Premium" sheetId="3" r:id="rId4"/>
    <sheet name="Model&gt;&gt;" sheetId="7" r:id="rId5"/>
    <sheet name="WLI_example" sheetId="8" r:id="rId6"/>
    <sheet name="WLI" sheetId="9" r:id="rId7"/>
    <sheet name="T20_example" sheetId="11" r:id="rId8"/>
  </sheets>
  <externalReferences>
    <externalReference r:id="rId9"/>
  </externalReferences>
  <definedNames>
    <definedName name="Inforce">#REF!</definedName>
    <definedName name="WLI">#REF!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C20" i="11" l="1"/>
  <c r="AC18" i="11"/>
  <c r="S14" i="11"/>
  <c r="M14" i="11"/>
  <c r="L14" i="11"/>
  <c r="J14" i="11"/>
  <c r="K14" i="11" s="1"/>
  <c r="S13" i="11"/>
  <c r="P13" i="11"/>
  <c r="O13" i="11"/>
  <c r="M13" i="11"/>
  <c r="L13" i="11"/>
  <c r="J13" i="11"/>
  <c r="K13" i="11" s="1"/>
  <c r="S12" i="11"/>
  <c r="P12" i="11"/>
  <c r="M12" i="11"/>
  <c r="L12" i="11"/>
  <c r="J12" i="11"/>
  <c r="K12" i="11" s="1"/>
  <c r="S11" i="11"/>
  <c r="O11" i="11"/>
  <c r="M11" i="11"/>
  <c r="P11" i="11" s="1"/>
  <c r="L11" i="11"/>
  <c r="J11" i="11"/>
  <c r="K11" i="11" s="1"/>
  <c r="S10" i="11"/>
  <c r="M10" i="11"/>
  <c r="P10" i="11" s="1"/>
  <c r="L10" i="11"/>
  <c r="K10" i="11"/>
  <c r="J10" i="11"/>
  <c r="S9" i="11"/>
  <c r="P9" i="11"/>
  <c r="O9" i="11"/>
  <c r="M9" i="11"/>
  <c r="L9" i="11"/>
  <c r="J9" i="11"/>
  <c r="K9" i="11" s="1"/>
  <c r="S8" i="11"/>
  <c r="P8" i="11"/>
  <c r="M8" i="11"/>
  <c r="L8" i="11"/>
  <c r="J8" i="11"/>
  <c r="K8" i="11" s="1"/>
  <c r="S7" i="11"/>
  <c r="O7" i="11"/>
  <c r="M7" i="11"/>
  <c r="P7" i="11" s="1"/>
  <c r="L7" i="11"/>
  <c r="J7" i="11"/>
  <c r="K7" i="11" s="1"/>
  <c r="S6" i="11"/>
  <c r="M6" i="11"/>
  <c r="L6" i="11"/>
  <c r="J6" i="11"/>
  <c r="K6" i="11" s="1"/>
  <c r="I6" i="11"/>
  <c r="I7" i="11" s="1"/>
  <c r="I8" i="11" s="1"/>
  <c r="I9" i="11" s="1"/>
  <c r="I10" i="11" s="1"/>
  <c r="I11" i="11" s="1"/>
  <c r="I12" i="11" s="1"/>
  <c r="I13" i="11" s="1"/>
  <c r="I14" i="11" s="1"/>
  <c r="I15" i="11" s="1"/>
  <c r="I16" i="11" s="1"/>
  <c r="I17" i="11" s="1"/>
  <c r="I18" i="11" s="1"/>
  <c r="I19" i="11" s="1"/>
  <c r="I20" i="11" s="1"/>
  <c r="I21" i="11" s="1"/>
  <c r="I22" i="11" s="1"/>
  <c r="I23" i="11" s="1"/>
  <c r="I24" i="11" s="1"/>
  <c r="S5" i="11"/>
  <c r="P5" i="11"/>
  <c r="O5" i="11"/>
  <c r="M5" i="11"/>
  <c r="I5" i="11"/>
  <c r="W4" i="11"/>
  <c r="AI5" i="11" s="1"/>
  <c r="P4" i="11"/>
  <c r="AB4" i="11" s="1"/>
  <c r="O4" i="11"/>
  <c r="M4" i="11"/>
  <c r="L4" i="11"/>
  <c r="K4" i="11"/>
  <c r="J4" i="11"/>
  <c r="B53" i="9"/>
  <c r="B54" i="9" s="1"/>
  <c r="B44" i="9"/>
  <c r="B45" i="9" s="1"/>
  <c r="A41" i="9"/>
  <c r="A42" i="9" s="1"/>
  <c r="A43" i="9" s="1"/>
  <c r="A44" i="9" s="1"/>
  <c r="A45" i="9" s="1"/>
  <c r="A46" i="9" s="1"/>
  <c r="A47" i="9" s="1"/>
  <c r="A48" i="9" s="1"/>
  <c r="A49" i="9" s="1"/>
  <c r="A50" i="9" s="1"/>
  <c r="A51" i="9" s="1"/>
  <c r="A52" i="9" s="1"/>
  <c r="A53" i="9" s="1"/>
  <c r="A54" i="9" s="1"/>
  <c r="A55" i="9" s="1"/>
  <c r="A56" i="9" s="1"/>
  <c r="A57" i="9" s="1"/>
  <c r="A58" i="9" s="1"/>
  <c r="A59" i="9" s="1"/>
  <c r="A60" i="9" s="1"/>
  <c r="AC35" i="9"/>
  <c r="AC33" i="9"/>
  <c r="S29" i="9"/>
  <c r="P29" i="9"/>
  <c r="N29" i="9"/>
  <c r="O29" i="9" s="1"/>
  <c r="M29" i="9"/>
  <c r="S28" i="9"/>
  <c r="N28" i="9"/>
  <c r="M28" i="9"/>
  <c r="P28" i="9" s="1"/>
  <c r="S27" i="9"/>
  <c r="P27" i="9"/>
  <c r="N27" i="9"/>
  <c r="M27" i="9"/>
  <c r="O27" i="9" s="1"/>
  <c r="S26" i="9"/>
  <c r="P26" i="9"/>
  <c r="M26" i="9"/>
  <c r="S25" i="9"/>
  <c r="M25" i="9"/>
  <c r="P25" i="9" s="1"/>
  <c r="S24" i="9"/>
  <c r="P24" i="9"/>
  <c r="M24" i="9"/>
  <c r="S23" i="9"/>
  <c r="P23" i="9"/>
  <c r="M23" i="9"/>
  <c r="S22" i="9"/>
  <c r="P22" i="9"/>
  <c r="O22" i="9"/>
  <c r="N22" i="9"/>
  <c r="M22" i="9"/>
  <c r="S21" i="9"/>
  <c r="O21" i="9"/>
  <c r="N21" i="9"/>
  <c r="M21" i="9"/>
  <c r="P21" i="9" s="1"/>
  <c r="S20" i="9"/>
  <c r="M20" i="9"/>
  <c r="P20" i="9" s="1"/>
  <c r="S19" i="9"/>
  <c r="P19" i="9"/>
  <c r="M19" i="9"/>
  <c r="S18" i="9"/>
  <c r="P18" i="9"/>
  <c r="M18" i="9"/>
  <c r="S17" i="9"/>
  <c r="M17" i="9"/>
  <c r="P17" i="9" s="1"/>
  <c r="S16" i="9"/>
  <c r="P16" i="9"/>
  <c r="M16" i="9"/>
  <c r="S15" i="9"/>
  <c r="P15" i="9"/>
  <c r="M15" i="9"/>
  <c r="S14" i="9"/>
  <c r="P14" i="9"/>
  <c r="M14" i="9"/>
  <c r="S13" i="9"/>
  <c r="O13" i="9"/>
  <c r="N13" i="9"/>
  <c r="M13" i="9"/>
  <c r="P13" i="9" s="1"/>
  <c r="S12" i="9"/>
  <c r="N12" i="9"/>
  <c r="M12" i="9"/>
  <c r="P12" i="9" s="1"/>
  <c r="AO11" i="9"/>
  <c r="S11" i="9"/>
  <c r="R11" i="9"/>
  <c r="P11" i="9"/>
  <c r="N11" i="9"/>
  <c r="M11" i="9"/>
  <c r="O11" i="9" s="1"/>
  <c r="S10" i="9"/>
  <c r="R10" i="9"/>
  <c r="P10" i="9"/>
  <c r="O10" i="9"/>
  <c r="M10" i="9"/>
  <c r="I10" i="9"/>
  <c r="AO9" i="9"/>
  <c r="N9" i="9"/>
  <c r="M9" i="9"/>
  <c r="P9" i="9" s="1"/>
  <c r="H8" i="9"/>
  <c r="L28" i="9" s="1"/>
  <c r="AD85" i="8"/>
  <c r="AD83" i="8"/>
  <c r="T79" i="8"/>
  <c r="O79" i="8"/>
  <c r="N79" i="8"/>
  <c r="M79" i="8"/>
  <c r="L79" i="8"/>
  <c r="J79" i="8"/>
  <c r="K79" i="8" s="1"/>
  <c r="T78" i="8"/>
  <c r="M78" i="8"/>
  <c r="L78" i="8"/>
  <c r="J78" i="8"/>
  <c r="K78" i="8" s="1"/>
  <c r="T77" i="8"/>
  <c r="M77" i="8"/>
  <c r="L77" i="8"/>
  <c r="K77" i="8"/>
  <c r="J77" i="8"/>
  <c r="T76" i="8"/>
  <c r="M76" i="8"/>
  <c r="L76" i="8"/>
  <c r="J76" i="8"/>
  <c r="K76" i="8" s="1"/>
  <c r="T75" i="8"/>
  <c r="M75" i="8"/>
  <c r="L75" i="8"/>
  <c r="J75" i="8"/>
  <c r="K75" i="8" s="1"/>
  <c r="T74" i="8"/>
  <c r="M74" i="8"/>
  <c r="L74" i="8"/>
  <c r="J74" i="8"/>
  <c r="K74" i="8" s="1"/>
  <c r="T73" i="8"/>
  <c r="M73" i="8"/>
  <c r="L73" i="8"/>
  <c r="K73" i="8"/>
  <c r="J73" i="8"/>
  <c r="T72" i="8"/>
  <c r="M72" i="8"/>
  <c r="L72" i="8"/>
  <c r="K72" i="8"/>
  <c r="J72" i="8"/>
  <c r="T71" i="8"/>
  <c r="M71" i="8"/>
  <c r="L71" i="8"/>
  <c r="J71" i="8"/>
  <c r="K71" i="8" s="1"/>
  <c r="T70" i="8"/>
  <c r="M70" i="8"/>
  <c r="L70" i="8"/>
  <c r="K70" i="8"/>
  <c r="J70" i="8"/>
  <c r="T69" i="8"/>
  <c r="M69" i="8"/>
  <c r="L69" i="8"/>
  <c r="J69" i="8"/>
  <c r="K69" i="8" s="1"/>
  <c r="T68" i="8"/>
  <c r="M68" i="8"/>
  <c r="L68" i="8"/>
  <c r="J68" i="8"/>
  <c r="K68" i="8" s="1"/>
  <c r="T67" i="8"/>
  <c r="M67" i="8"/>
  <c r="L67" i="8"/>
  <c r="J67" i="8"/>
  <c r="K67" i="8" s="1"/>
  <c r="T66" i="8"/>
  <c r="M66" i="8"/>
  <c r="L66" i="8"/>
  <c r="J66" i="8"/>
  <c r="K66" i="8" s="1"/>
  <c r="T65" i="8"/>
  <c r="M65" i="8"/>
  <c r="L65" i="8"/>
  <c r="J65" i="8"/>
  <c r="K65" i="8" s="1"/>
  <c r="T64" i="8"/>
  <c r="M64" i="8"/>
  <c r="L64" i="8"/>
  <c r="J64" i="8"/>
  <c r="K64" i="8" s="1"/>
  <c r="T63" i="8"/>
  <c r="M63" i="8"/>
  <c r="L63" i="8"/>
  <c r="J63" i="8"/>
  <c r="K63" i="8" s="1"/>
  <c r="T62" i="8"/>
  <c r="M62" i="8"/>
  <c r="L62" i="8"/>
  <c r="J62" i="8"/>
  <c r="K62" i="8" s="1"/>
  <c r="T61" i="8"/>
  <c r="M61" i="8"/>
  <c r="L61" i="8"/>
  <c r="J61" i="8"/>
  <c r="K61" i="8" s="1"/>
  <c r="T60" i="8"/>
  <c r="M60" i="8"/>
  <c r="L60" i="8"/>
  <c r="J60" i="8"/>
  <c r="K60" i="8" s="1"/>
  <c r="T59" i="8"/>
  <c r="M59" i="8"/>
  <c r="L59" i="8"/>
  <c r="J59" i="8"/>
  <c r="K59" i="8" s="1"/>
  <c r="T58" i="8"/>
  <c r="M58" i="8"/>
  <c r="L58" i="8"/>
  <c r="J58" i="8"/>
  <c r="K58" i="8" s="1"/>
  <c r="T57" i="8"/>
  <c r="M57" i="8"/>
  <c r="L57" i="8"/>
  <c r="K57" i="8"/>
  <c r="J57" i="8"/>
  <c r="T56" i="8"/>
  <c r="M56" i="8"/>
  <c r="L56" i="8"/>
  <c r="J56" i="8"/>
  <c r="K56" i="8" s="1"/>
  <c r="T55" i="8"/>
  <c r="M55" i="8"/>
  <c r="L55" i="8"/>
  <c r="J55" i="8"/>
  <c r="K55" i="8" s="1"/>
  <c r="T54" i="8"/>
  <c r="M54" i="8"/>
  <c r="L54" i="8"/>
  <c r="K54" i="8"/>
  <c r="J54" i="8"/>
  <c r="T53" i="8"/>
  <c r="M53" i="8"/>
  <c r="L53" i="8"/>
  <c r="J53" i="8"/>
  <c r="K53" i="8" s="1"/>
  <c r="T52" i="8"/>
  <c r="M52" i="8"/>
  <c r="L52" i="8"/>
  <c r="J52" i="8"/>
  <c r="K52" i="8" s="1"/>
  <c r="T51" i="8"/>
  <c r="M51" i="8"/>
  <c r="L51" i="8"/>
  <c r="K51" i="8"/>
  <c r="J51" i="8"/>
  <c r="T50" i="8"/>
  <c r="M50" i="8"/>
  <c r="L50" i="8"/>
  <c r="K50" i="8"/>
  <c r="J50" i="8"/>
  <c r="T49" i="8"/>
  <c r="M49" i="8"/>
  <c r="L49" i="8"/>
  <c r="J49" i="8"/>
  <c r="K49" i="8" s="1"/>
  <c r="T48" i="8"/>
  <c r="M48" i="8"/>
  <c r="L48" i="8"/>
  <c r="J48" i="8"/>
  <c r="K48" i="8" s="1"/>
  <c r="T47" i="8"/>
  <c r="M47" i="8"/>
  <c r="L47" i="8"/>
  <c r="K47" i="8"/>
  <c r="J47" i="8"/>
  <c r="T46" i="8"/>
  <c r="M46" i="8"/>
  <c r="L46" i="8"/>
  <c r="K46" i="8"/>
  <c r="J46" i="8"/>
  <c r="T45" i="8"/>
  <c r="M45" i="8"/>
  <c r="L45" i="8"/>
  <c r="J45" i="8"/>
  <c r="K45" i="8" s="1"/>
  <c r="T44" i="8"/>
  <c r="M44" i="8"/>
  <c r="L44" i="8"/>
  <c r="J44" i="8"/>
  <c r="K44" i="8" s="1"/>
  <c r="T43" i="8"/>
  <c r="M43" i="8"/>
  <c r="L43" i="8"/>
  <c r="K43" i="8"/>
  <c r="J43" i="8"/>
  <c r="T42" i="8"/>
  <c r="M42" i="8"/>
  <c r="L42" i="8"/>
  <c r="K42" i="8"/>
  <c r="J42" i="8"/>
  <c r="T41" i="8"/>
  <c r="M41" i="8"/>
  <c r="L41" i="8"/>
  <c r="J41" i="8"/>
  <c r="K41" i="8" s="1"/>
  <c r="T40" i="8"/>
  <c r="M40" i="8"/>
  <c r="L40" i="8"/>
  <c r="J40" i="8"/>
  <c r="K40" i="8" s="1"/>
  <c r="T39" i="8"/>
  <c r="M39" i="8"/>
  <c r="L39" i="8"/>
  <c r="J39" i="8"/>
  <c r="K39" i="8" s="1"/>
  <c r="T38" i="8"/>
  <c r="M38" i="8"/>
  <c r="L38" i="8"/>
  <c r="J38" i="8"/>
  <c r="K38" i="8" s="1"/>
  <c r="T37" i="8"/>
  <c r="M37" i="8"/>
  <c r="L37" i="8"/>
  <c r="J37" i="8"/>
  <c r="K37" i="8" s="1"/>
  <c r="T36" i="8"/>
  <c r="M36" i="8"/>
  <c r="L36" i="8"/>
  <c r="J36" i="8"/>
  <c r="K36" i="8" s="1"/>
  <c r="T35" i="8"/>
  <c r="M35" i="8"/>
  <c r="L35" i="8"/>
  <c r="J35" i="8"/>
  <c r="K35" i="8" s="1"/>
  <c r="T34" i="8"/>
  <c r="M34" i="8"/>
  <c r="L34" i="8"/>
  <c r="J34" i="8"/>
  <c r="K34" i="8" s="1"/>
  <c r="T33" i="8"/>
  <c r="M33" i="8"/>
  <c r="L33" i="8"/>
  <c r="J33" i="8"/>
  <c r="K33" i="8" s="1"/>
  <c r="T32" i="8"/>
  <c r="M32" i="8"/>
  <c r="L32" i="8"/>
  <c r="J32" i="8"/>
  <c r="K32" i="8" s="1"/>
  <c r="T31" i="8"/>
  <c r="M31" i="8"/>
  <c r="L31" i="8"/>
  <c r="J31" i="8"/>
  <c r="K31" i="8" s="1"/>
  <c r="T30" i="8"/>
  <c r="M30" i="8"/>
  <c r="L30" i="8"/>
  <c r="J30" i="8"/>
  <c r="K30" i="8" s="1"/>
  <c r="T29" i="8"/>
  <c r="M29" i="8"/>
  <c r="L29" i="8"/>
  <c r="K29" i="8"/>
  <c r="J29" i="8"/>
  <c r="T28" i="8"/>
  <c r="M28" i="8"/>
  <c r="L28" i="8"/>
  <c r="K28" i="8"/>
  <c r="J28" i="8"/>
  <c r="T27" i="8"/>
  <c r="M27" i="8"/>
  <c r="L27" i="8"/>
  <c r="J27" i="8"/>
  <c r="K27" i="8" s="1"/>
  <c r="T26" i="8"/>
  <c r="M26" i="8"/>
  <c r="L26" i="8"/>
  <c r="J26" i="8"/>
  <c r="K26" i="8" s="1"/>
  <c r="T25" i="8"/>
  <c r="M25" i="8"/>
  <c r="L25" i="8"/>
  <c r="J25" i="8"/>
  <c r="K25" i="8" s="1"/>
  <c r="T24" i="8"/>
  <c r="M24" i="8"/>
  <c r="L24" i="8"/>
  <c r="K24" i="8"/>
  <c r="J24" i="8"/>
  <c r="T23" i="8"/>
  <c r="M23" i="8"/>
  <c r="L23" i="8"/>
  <c r="J23" i="8"/>
  <c r="K23" i="8" s="1"/>
  <c r="T22" i="8"/>
  <c r="M22" i="8"/>
  <c r="L22" i="8"/>
  <c r="J22" i="8"/>
  <c r="K22" i="8" s="1"/>
  <c r="T21" i="8"/>
  <c r="M21" i="8"/>
  <c r="L21" i="8"/>
  <c r="K21" i="8"/>
  <c r="J21" i="8"/>
  <c r="T20" i="8"/>
  <c r="M20" i="8"/>
  <c r="L20" i="8"/>
  <c r="K20" i="8"/>
  <c r="J20" i="8"/>
  <c r="T19" i="8"/>
  <c r="M19" i="8"/>
  <c r="L19" i="8"/>
  <c r="J19" i="8"/>
  <c r="K19" i="8" s="1"/>
  <c r="T18" i="8"/>
  <c r="M18" i="8"/>
  <c r="L18" i="8"/>
  <c r="J18" i="8"/>
  <c r="K18" i="8" s="1"/>
  <c r="T17" i="8"/>
  <c r="M17" i="8"/>
  <c r="L17" i="8"/>
  <c r="J17" i="8"/>
  <c r="K17" i="8" s="1"/>
  <c r="T16" i="8"/>
  <c r="M16" i="8"/>
  <c r="L16" i="8"/>
  <c r="K16" i="8"/>
  <c r="J16" i="8"/>
  <c r="T15" i="8"/>
  <c r="M15" i="8"/>
  <c r="L15" i="8"/>
  <c r="J15" i="8"/>
  <c r="K15" i="8" s="1"/>
  <c r="T14" i="8"/>
  <c r="M14" i="8"/>
  <c r="L14" i="8"/>
  <c r="K14" i="8"/>
  <c r="J14" i="8"/>
  <c r="T13" i="8"/>
  <c r="M13" i="8"/>
  <c r="L13" i="8"/>
  <c r="J13" i="8"/>
  <c r="K13" i="8" s="1"/>
  <c r="T12" i="8"/>
  <c r="M12" i="8"/>
  <c r="L12" i="8"/>
  <c r="K12" i="8"/>
  <c r="J12" i="8"/>
  <c r="T11" i="8"/>
  <c r="M11" i="8"/>
  <c r="L11" i="8"/>
  <c r="J11" i="8"/>
  <c r="K11" i="8" s="1"/>
  <c r="T10" i="8"/>
  <c r="M10" i="8"/>
  <c r="L10" i="8"/>
  <c r="J10" i="8"/>
  <c r="K10" i="8" s="1"/>
  <c r="T9" i="8"/>
  <c r="M9" i="8"/>
  <c r="L9" i="8"/>
  <c r="K9" i="8"/>
  <c r="J9" i="8"/>
  <c r="T8" i="8"/>
  <c r="M8" i="8"/>
  <c r="L8" i="8"/>
  <c r="K8" i="8"/>
  <c r="J8" i="8"/>
  <c r="AU7" i="8"/>
  <c r="T7" i="8"/>
  <c r="M7" i="8"/>
  <c r="L7" i="8"/>
  <c r="J7" i="8"/>
  <c r="K7" i="8" s="1"/>
  <c r="AV6" i="8"/>
  <c r="AU6" i="8"/>
  <c r="T6" i="8"/>
  <c r="M6" i="8"/>
  <c r="L6" i="8"/>
  <c r="J6" i="8"/>
  <c r="K6" i="8" s="1"/>
  <c r="AV5" i="8"/>
  <c r="AT5" i="8"/>
  <c r="AT6" i="8" s="1"/>
  <c r="AT7" i="8" s="1"/>
  <c r="AT8" i="8" s="1"/>
  <c r="AT9" i="8" s="1"/>
  <c r="AT10" i="8" s="1"/>
  <c r="AT11" i="8" s="1"/>
  <c r="AT12" i="8" s="1"/>
  <c r="AT13" i="8" s="1"/>
  <c r="AT14" i="8" s="1"/>
  <c r="AT15" i="8" s="1"/>
  <c r="AT16" i="8" s="1"/>
  <c r="AT17" i="8" s="1"/>
  <c r="AT18" i="8" s="1"/>
  <c r="AT19" i="8" s="1"/>
  <c r="AT20" i="8" s="1"/>
  <c r="AT21" i="8" s="1"/>
  <c r="AT22" i="8" s="1"/>
  <c r="AT23" i="8" s="1"/>
  <c r="AT24" i="8" s="1"/>
  <c r="AT25" i="8" s="1"/>
  <c r="AT26" i="8" s="1"/>
  <c r="AT27" i="8" s="1"/>
  <c r="AT28" i="8" s="1"/>
  <c r="AT29" i="8" s="1"/>
  <c r="AT30" i="8" s="1"/>
  <c r="AT31" i="8" s="1"/>
  <c r="AT32" i="8" s="1"/>
  <c r="AT33" i="8" s="1"/>
  <c r="AT34" i="8" s="1"/>
  <c r="AT35" i="8" s="1"/>
  <c r="AT36" i="8" s="1"/>
  <c r="AT37" i="8" s="1"/>
  <c r="AT38" i="8" s="1"/>
  <c r="AT39" i="8" s="1"/>
  <c r="AT40" i="8" s="1"/>
  <c r="AT41" i="8" s="1"/>
  <c r="AT42" i="8" s="1"/>
  <c r="AT43" i="8" s="1"/>
  <c r="AT44" i="8" s="1"/>
  <c r="AT45" i="8" s="1"/>
  <c r="AT46" i="8" s="1"/>
  <c r="AT47" i="8" s="1"/>
  <c r="AT48" i="8" s="1"/>
  <c r="AT49" i="8" s="1"/>
  <c r="AT50" i="8" s="1"/>
  <c r="AT51" i="8" s="1"/>
  <c r="AT52" i="8" s="1"/>
  <c r="AT53" i="8" s="1"/>
  <c r="AT54" i="8" s="1"/>
  <c r="AT55" i="8" s="1"/>
  <c r="AT56" i="8" s="1"/>
  <c r="AT57" i="8" s="1"/>
  <c r="AT58" i="8" s="1"/>
  <c r="AT59" i="8" s="1"/>
  <c r="AT60" i="8" s="1"/>
  <c r="AT61" i="8" s="1"/>
  <c r="AT62" i="8" s="1"/>
  <c r="AT63" i="8" s="1"/>
  <c r="AT64" i="8" s="1"/>
  <c r="AT65" i="8" s="1"/>
  <c r="AT66" i="8" s="1"/>
  <c r="AT67" i="8" s="1"/>
  <c r="AT68" i="8" s="1"/>
  <c r="AT69" i="8" s="1"/>
  <c r="AT70" i="8" s="1"/>
  <c r="AT71" i="8" s="1"/>
  <c r="AT72" i="8" s="1"/>
  <c r="AT73" i="8" s="1"/>
  <c r="AT74" i="8" s="1"/>
  <c r="AT75" i="8" s="1"/>
  <c r="AT76" i="8" s="1"/>
  <c r="AT77" i="8" s="1"/>
  <c r="AT78" i="8" s="1"/>
  <c r="AT79" i="8" s="1"/>
  <c r="U5" i="8"/>
  <c r="T5" i="8"/>
  <c r="M5" i="8"/>
  <c r="I5" i="8"/>
  <c r="I6" i="8" s="1"/>
  <c r="I7" i="8" s="1"/>
  <c r="I8" i="8" s="1"/>
  <c r="I9" i="8" s="1"/>
  <c r="I10" i="8" s="1"/>
  <c r="I11" i="8" s="1"/>
  <c r="I12" i="8" s="1"/>
  <c r="I13" i="8" s="1"/>
  <c r="I14" i="8" s="1"/>
  <c r="I15" i="8" s="1"/>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AG4" i="8"/>
  <c r="X4" i="8"/>
  <c r="AE4" i="8" s="1"/>
  <c r="M4" i="8"/>
  <c r="AC4" i="8" s="1"/>
  <c r="L4" i="8"/>
  <c r="J4" i="8"/>
  <c r="K4" i="8" s="1"/>
  <c r="AF4" i="8" s="1"/>
  <c r="J9" i="9" l="1"/>
  <c r="K9" i="9" s="1"/>
  <c r="L12" i="9"/>
  <c r="L14" i="9"/>
  <c r="K26" i="9"/>
  <c r="L20" i="9"/>
  <c r="K18" i="9"/>
  <c r="L23" i="9"/>
  <c r="K15" i="9"/>
  <c r="K19" i="9"/>
  <c r="L15" i="9"/>
  <c r="K17" i="9"/>
  <c r="K23" i="9"/>
  <c r="K25" i="9"/>
  <c r="L9" i="9"/>
  <c r="L22" i="9"/>
  <c r="L11" i="9"/>
  <c r="L16" i="9"/>
  <c r="Z5" i="11"/>
  <c r="AL4" i="11"/>
  <c r="O6" i="11"/>
  <c r="AA4" i="11"/>
  <c r="T5" i="11"/>
  <c r="P6" i="11"/>
  <c r="O10" i="11"/>
  <c r="O14" i="11"/>
  <c r="AD4" i="11"/>
  <c r="AE4" i="11"/>
  <c r="AF4" i="11"/>
  <c r="O8" i="11"/>
  <c r="O12" i="11"/>
  <c r="N14" i="9"/>
  <c r="O14" i="9" s="1"/>
  <c r="B46" i="9"/>
  <c r="O23" i="9"/>
  <c r="B55" i="9"/>
  <c r="N23" i="9"/>
  <c r="I11" i="9"/>
  <c r="K13" i="9"/>
  <c r="L18" i="9"/>
  <c r="K21" i="9"/>
  <c r="L26" i="9"/>
  <c r="K29" i="9"/>
  <c r="O9" i="9"/>
  <c r="K11" i="9"/>
  <c r="O12" i="9"/>
  <c r="L13" i="9"/>
  <c r="K16" i="9"/>
  <c r="L21" i="9"/>
  <c r="K24" i="9"/>
  <c r="O28" i="9"/>
  <c r="L29" i="9"/>
  <c r="L24" i="9"/>
  <c r="K27" i="9"/>
  <c r="K14" i="9"/>
  <c r="L19" i="9"/>
  <c r="K22" i="9"/>
  <c r="L27" i="9"/>
  <c r="K12" i="9"/>
  <c r="L17" i="9"/>
  <c r="K20" i="9"/>
  <c r="L25" i="9"/>
  <c r="K28" i="9"/>
  <c r="W5" i="8"/>
  <c r="X5" i="8" s="1"/>
  <c r="AV7" i="8"/>
  <c r="AH5" i="8"/>
  <c r="AA5" i="8"/>
  <c r="AN4" i="8"/>
  <c r="AJ4" i="8"/>
  <c r="V5" i="8"/>
  <c r="Q79" i="8"/>
  <c r="P79" i="8"/>
  <c r="AH4" i="11" l="1"/>
  <c r="AI4" i="11"/>
  <c r="Y5" i="11"/>
  <c r="U5" i="11"/>
  <c r="B56" i="9"/>
  <c r="N24" i="9"/>
  <c r="O24" i="9" s="1"/>
  <c r="B47" i="9"/>
  <c r="N15" i="9"/>
  <c r="O15" i="9" s="1"/>
  <c r="I12" i="9"/>
  <c r="R12" i="9"/>
  <c r="AG5" i="8"/>
  <c r="AF5" i="8"/>
  <c r="U6" i="8"/>
  <c r="AE5" i="8"/>
  <c r="AC5" i="8"/>
  <c r="AA6" i="8" s="1"/>
  <c r="AN5" i="8"/>
  <c r="AU8" i="8"/>
  <c r="AG5" i="11" l="1"/>
  <c r="V5" i="11"/>
  <c r="W5" i="11"/>
  <c r="AK4" i="11"/>
  <c r="I13" i="9"/>
  <c r="B48" i="9"/>
  <c r="N16" i="9"/>
  <c r="O16" i="9" s="1"/>
  <c r="N25" i="9"/>
  <c r="O25" i="9" s="1"/>
  <c r="B57" i="9"/>
  <c r="N26" i="9" s="1"/>
  <c r="O26" i="9" s="1"/>
  <c r="R13" i="9"/>
  <c r="R14" i="9"/>
  <c r="AV8" i="8"/>
  <c r="X6" i="8"/>
  <c r="V6" i="8"/>
  <c r="AH6" i="8" s="1"/>
  <c r="W6" i="8"/>
  <c r="AM4" i="11" l="1"/>
  <c r="T6" i="11"/>
  <c r="AF5" i="11"/>
  <c r="AE5" i="11"/>
  <c r="AA5" i="11"/>
  <c r="Y6" i="11" s="1"/>
  <c r="AD5" i="11"/>
  <c r="AB5" i="11"/>
  <c r="AI6" i="11"/>
  <c r="I14" i="9"/>
  <c r="R15" i="9"/>
  <c r="N17" i="9"/>
  <c r="O17" i="9" s="1"/>
  <c r="B49" i="9"/>
  <c r="U7" i="8"/>
  <c r="AG6" i="8"/>
  <c r="AF6" i="8"/>
  <c r="AE6" i="8"/>
  <c r="AC6" i="8"/>
  <c r="AU9" i="8"/>
  <c r="U6" i="11" l="1"/>
  <c r="AG6" i="11" s="1"/>
  <c r="Z6" i="11"/>
  <c r="AL5" i="11"/>
  <c r="AH5" i="11"/>
  <c r="AJ5" i="11"/>
  <c r="B50" i="9"/>
  <c r="N18" i="9"/>
  <c r="O18" i="9" s="1"/>
  <c r="I15" i="9"/>
  <c r="AA7" i="8"/>
  <c r="AN6" i="8"/>
  <c r="V7" i="8"/>
  <c r="AH7" i="8" s="1"/>
  <c r="AV9" i="8"/>
  <c r="AK5" i="11" l="1"/>
  <c r="V6" i="11"/>
  <c r="W6" i="11"/>
  <c r="I16" i="9"/>
  <c r="R16" i="9"/>
  <c r="R17" i="9"/>
  <c r="B51" i="9"/>
  <c r="N20" i="9" s="1"/>
  <c r="O20" i="9" s="1"/>
  <c r="N19" i="9"/>
  <c r="O19" i="9" s="1"/>
  <c r="W7" i="8"/>
  <c r="X7" i="8"/>
  <c r="AU10" i="8"/>
  <c r="AM5" i="11" l="1"/>
  <c r="T7" i="11"/>
  <c r="AI7" i="11"/>
  <c r="AF6" i="11"/>
  <c r="AE6" i="11"/>
  <c r="AD6" i="11"/>
  <c r="AB6" i="11"/>
  <c r="AA6" i="11"/>
  <c r="Y7" i="11" s="1"/>
  <c r="I17" i="9"/>
  <c r="AF7" i="8"/>
  <c r="AE7" i="8"/>
  <c r="AC7" i="8"/>
  <c r="U8" i="8"/>
  <c r="AG7" i="8"/>
  <c r="AV10" i="8"/>
  <c r="AU11" i="8" s="1"/>
  <c r="U7" i="11" l="1"/>
  <c r="AG7" i="11" s="1"/>
  <c r="Z7" i="11"/>
  <c r="AL6" i="11"/>
  <c r="AH6" i="11"/>
  <c r="AJ6" i="11"/>
  <c r="I18" i="9"/>
  <c r="R18" i="9"/>
  <c r="AV11" i="8"/>
  <c r="AU12" i="8" s="1"/>
  <c r="V8" i="8"/>
  <c r="AH8" i="8" s="1"/>
  <c r="AA8" i="8"/>
  <c r="AN7" i="8"/>
  <c r="V7" i="11" l="1"/>
  <c r="W7" i="11" s="1"/>
  <c r="AK6" i="11"/>
  <c r="I19" i="9"/>
  <c r="R19" i="9"/>
  <c r="AV12" i="8"/>
  <c r="AU13" i="8" s="1"/>
  <c r="W8" i="8"/>
  <c r="X8" i="8" s="1"/>
  <c r="AD7" i="11" l="1"/>
  <c r="AF7" i="11"/>
  <c r="T8" i="11"/>
  <c r="AE7" i="11"/>
  <c r="AA7" i="11"/>
  <c r="Y8" i="11" s="1"/>
  <c r="AI8" i="11"/>
  <c r="AB7" i="11"/>
  <c r="AM6" i="11"/>
  <c r="I20" i="9"/>
  <c r="R20" i="9"/>
  <c r="AE8" i="8"/>
  <c r="U9" i="8"/>
  <c r="AG8" i="8"/>
  <c r="AF8" i="8"/>
  <c r="AC8" i="8"/>
  <c r="AV13" i="8"/>
  <c r="AU14" i="8" s="1"/>
  <c r="Z8" i="11" l="1"/>
  <c r="AL7" i="11"/>
  <c r="U8" i="11"/>
  <c r="AG8" i="11" s="1"/>
  <c r="V8" i="11"/>
  <c r="AH7" i="11"/>
  <c r="AJ7" i="11"/>
  <c r="I21" i="9"/>
  <c r="R22" i="9"/>
  <c r="R21" i="9"/>
  <c r="AV14" i="8"/>
  <c r="AU15" i="8"/>
  <c r="AA9" i="8"/>
  <c r="AN8" i="8"/>
  <c r="V9" i="8"/>
  <c r="AH9" i="8" s="1"/>
  <c r="W9" i="8"/>
  <c r="AK7" i="11" l="1"/>
  <c r="W8" i="11"/>
  <c r="I22" i="9"/>
  <c r="X9" i="8"/>
  <c r="AV15" i="8"/>
  <c r="AU16" i="8" s="1"/>
  <c r="T9" i="11" l="1"/>
  <c r="AF8" i="11"/>
  <c r="AD8" i="11"/>
  <c r="AE8" i="11"/>
  <c r="AI9" i="11"/>
  <c r="AB8" i="11"/>
  <c r="AA8" i="11"/>
  <c r="Y9" i="11" s="1"/>
  <c r="AM7" i="11"/>
  <c r="I23" i="9"/>
  <c r="R23" i="9"/>
  <c r="AV16" i="8"/>
  <c r="AU17" i="8" s="1"/>
  <c r="AG9" i="8"/>
  <c r="AF9" i="8"/>
  <c r="U10" i="8"/>
  <c r="AE9" i="8"/>
  <c r="AC9" i="8"/>
  <c r="Z9" i="11" l="1"/>
  <c r="AL8" i="11"/>
  <c r="AH8" i="11"/>
  <c r="AJ8" i="11"/>
  <c r="U9" i="11"/>
  <c r="AG9" i="11" s="1"/>
  <c r="V9" i="11"/>
  <c r="W9" i="11" s="1"/>
  <c r="I24" i="9"/>
  <c r="R24" i="9"/>
  <c r="R25" i="9"/>
  <c r="AV17" i="8"/>
  <c r="AU18" i="8" s="1"/>
  <c r="X10" i="8"/>
  <c r="V10" i="8"/>
  <c r="AH10" i="8" s="1"/>
  <c r="W10" i="8"/>
  <c r="AA10" i="8"/>
  <c r="AN9" i="8"/>
  <c r="AE9" i="11" l="1"/>
  <c r="T10" i="11"/>
  <c r="AF9" i="11"/>
  <c r="AD9" i="11"/>
  <c r="AH9" i="11" s="1"/>
  <c r="AA9" i="11"/>
  <c r="Y10" i="11" s="1"/>
  <c r="AB9" i="11"/>
  <c r="Z10" i="11" s="1"/>
  <c r="AI10" i="11"/>
  <c r="AL9" i="11"/>
  <c r="AK8" i="11"/>
  <c r="I25" i="9"/>
  <c r="AV18" i="8"/>
  <c r="AU19" i="8"/>
  <c r="U11" i="8"/>
  <c r="AG10" i="8"/>
  <c r="AF10" i="8"/>
  <c r="AE10" i="8"/>
  <c r="AC10" i="8"/>
  <c r="AA11" i="8" s="1"/>
  <c r="AN10" i="8"/>
  <c r="AM8" i="11" l="1"/>
  <c r="AJ9" i="11"/>
  <c r="U10" i="11"/>
  <c r="AG10" i="11" s="1"/>
  <c r="I26" i="9"/>
  <c r="R26" i="9"/>
  <c r="V11" i="8"/>
  <c r="AH11" i="8" s="1"/>
  <c r="W11" i="8"/>
  <c r="X11" i="8" s="1"/>
  <c r="AV19" i="8"/>
  <c r="AU20" i="8" s="1"/>
  <c r="V10" i="11" l="1"/>
  <c r="AK9" i="11"/>
  <c r="AM9" i="11" s="1"/>
  <c r="W10" i="11"/>
  <c r="I27" i="9"/>
  <c r="R27" i="9"/>
  <c r="AV20" i="8"/>
  <c r="AU21" i="8" s="1"/>
  <c r="AF11" i="8"/>
  <c r="AE11" i="8"/>
  <c r="AC11" i="8"/>
  <c r="U12" i="8"/>
  <c r="AG11" i="8"/>
  <c r="T11" i="11" l="1"/>
  <c r="AF10" i="11"/>
  <c r="AE10" i="11"/>
  <c r="AD10" i="11"/>
  <c r="AI11" i="11"/>
  <c r="AB10" i="11"/>
  <c r="AA10" i="11"/>
  <c r="Y11" i="11" s="1"/>
  <c r="I28" i="9"/>
  <c r="I29" i="9" s="1"/>
  <c r="R29" i="9"/>
  <c r="R28" i="9"/>
  <c r="AV21" i="8"/>
  <c r="AU22" i="8"/>
  <c r="V12" i="8"/>
  <c r="AH12" i="8" s="1"/>
  <c r="AA12" i="8"/>
  <c r="AN11" i="8"/>
  <c r="Z11" i="11" l="1"/>
  <c r="AL10" i="11"/>
  <c r="AH10" i="11"/>
  <c r="AJ10" i="11"/>
  <c r="U11" i="11"/>
  <c r="AG11" i="11" s="1"/>
  <c r="W9" i="9"/>
  <c r="T9" i="9"/>
  <c r="I30" i="9"/>
  <c r="I31" i="9" s="1"/>
  <c r="I32" i="9" s="1"/>
  <c r="I33" i="9" s="1"/>
  <c r="I34" i="9" s="1"/>
  <c r="I35" i="9" s="1"/>
  <c r="I36" i="9" s="1"/>
  <c r="I37" i="9" s="1"/>
  <c r="I38" i="9" s="1"/>
  <c r="I39" i="9" s="1"/>
  <c r="I40" i="9" s="1"/>
  <c r="I41" i="9" s="1"/>
  <c r="I42" i="9" s="1"/>
  <c r="I43" i="9" s="1"/>
  <c r="I44" i="9" s="1"/>
  <c r="I45" i="9" s="1"/>
  <c r="I46" i="9" s="1"/>
  <c r="I47" i="9" s="1"/>
  <c r="I48" i="9" s="1"/>
  <c r="I49" i="9" s="1"/>
  <c r="I50" i="9" s="1"/>
  <c r="I51" i="9" s="1"/>
  <c r="I52" i="9" s="1"/>
  <c r="I53" i="9" s="1"/>
  <c r="I54" i="9" s="1"/>
  <c r="I55" i="9" s="1"/>
  <c r="I56" i="9" s="1"/>
  <c r="I57" i="9" s="1"/>
  <c r="I58" i="9" s="1"/>
  <c r="I59" i="9" s="1"/>
  <c r="I60" i="9" s="1"/>
  <c r="I61" i="9" s="1"/>
  <c r="I62" i="9" s="1"/>
  <c r="I63" i="9" s="1"/>
  <c r="I64" i="9" s="1"/>
  <c r="I65" i="9" s="1"/>
  <c r="I66" i="9" s="1"/>
  <c r="I67" i="9" s="1"/>
  <c r="I68" i="9" s="1"/>
  <c r="I69" i="9" s="1"/>
  <c r="I70" i="9" s="1"/>
  <c r="I71" i="9" s="1"/>
  <c r="I72" i="9" s="1"/>
  <c r="I73" i="9" s="1"/>
  <c r="I74" i="9" s="1"/>
  <c r="I75" i="9" s="1"/>
  <c r="I76" i="9" s="1"/>
  <c r="I77" i="9" s="1"/>
  <c r="I78" i="9" s="1"/>
  <c r="I79" i="9" s="1"/>
  <c r="I80" i="9" s="1"/>
  <c r="I81" i="9" s="1"/>
  <c r="I82" i="9" s="1"/>
  <c r="I83" i="9" s="1"/>
  <c r="I84" i="9" s="1"/>
  <c r="W12" i="8"/>
  <c r="X12" i="8"/>
  <c r="AV22" i="8"/>
  <c r="AU23" i="8" s="1"/>
  <c r="V11" i="11" l="1"/>
  <c r="W11" i="11"/>
  <c r="AK10" i="11"/>
  <c r="AM10" i="11" s="1"/>
  <c r="T10" i="9"/>
  <c r="AF9" i="9"/>
  <c r="AE9" i="9"/>
  <c r="AB9" i="9"/>
  <c r="AD9" i="9"/>
  <c r="AA9" i="9"/>
  <c r="AV23" i="8"/>
  <c r="AU24" i="8" s="1"/>
  <c r="AE12" i="8"/>
  <c r="AG12" i="8"/>
  <c r="AF12" i="8"/>
  <c r="U13" i="8"/>
  <c r="AC12" i="8"/>
  <c r="AD11" i="11" l="1"/>
  <c r="AF11" i="11"/>
  <c r="T12" i="11"/>
  <c r="AE11" i="11"/>
  <c r="AA11" i="11"/>
  <c r="Y12" i="11" s="1"/>
  <c r="AI12" i="11"/>
  <c r="AB11" i="11"/>
  <c r="AI9" i="9"/>
  <c r="Y10" i="9"/>
  <c r="AH9" i="9"/>
  <c r="AL9" i="9"/>
  <c r="Z10" i="9"/>
  <c r="U10" i="9"/>
  <c r="AG10" i="9" s="1"/>
  <c r="V10" i="9"/>
  <c r="W10" i="9" s="1"/>
  <c r="AV24" i="8"/>
  <c r="AU25" i="8" s="1"/>
  <c r="V13" i="8"/>
  <c r="AH13" i="8" s="1"/>
  <c r="W13" i="8"/>
  <c r="AA13" i="8"/>
  <c r="AN12" i="8"/>
  <c r="Z12" i="11" l="1"/>
  <c r="AL11" i="11"/>
  <c r="U12" i="11"/>
  <c r="AG12" i="11" s="1"/>
  <c r="V12" i="11"/>
  <c r="AH11" i="11"/>
  <c r="AJ11" i="11"/>
  <c r="AD10" i="9"/>
  <c r="AJ10" i="9" s="1"/>
  <c r="AA10" i="9"/>
  <c r="Y11" i="9" s="1"/>
  <c r="T11" i="9"/>
  <c r="AE10" i="9"/>
  <c r="AF10" i="9"/>
  <c r="AB10" i="9"/>
  <c r="Z11" i="9" s="1"/>
  <c r="AK9" i="9"/>
  <c r="AV25" i="8"/>
  <c r="AU26" i="8"/>
  <c r="X13" i="8"/>
  <c r="AI10" i="9" l="1"/>
  <c r="AK11" i="11"/>
  <c r="AM11" i="11" s="1"/>
  <c r="W12" i="11"/>
  <c r="AM9" i="9"/>
  <c r="U11" i="9"/>
  <c r="AG11" i="9" s="1"/>
  <c r="AL10" i="9"/>
  <c r="AH10" i="9"/>
  <c r="AF13" i="8"/>
  <c r="U14" i="8"/>
  <c r="AE13" i="8"/>
  <c r="AG13" i="8"/>
  <c r="AC13" i="8"/>
  <c r="AV26" i="8"/>
  <c r="AU27" i="8" s="1"/>
  <c r="T13" i="11" l="1"/>
  <c r="AF12" i="11"/>
  <c r="AD12" i="11"/>
  <c r="AE12" i="11"/>
  <c r="AI13" i="11"/>
  <c r="AB12" i="11"/>
  <c r="AA12" i="11"/>
  <c r="Y13" i="11" s="1"/>
  <c r="AK10" i="9"/>
  <c r="V11" i="9"/>
  <c r="W11" i="9" s="1"/>
  <c r="AV27" i="8"/>
  <c r="AU28" i="8" s="1"/>
  <c r="AA14" i="8"/>
  <c r="AN13" i="8"/>
  <c r="V14" i="8"/>
  <c r="AH14" i="8" s="1"/>
  <c r="W14" i="8"/>
  <c r="Z13" i="11" l="1"/>
  <c r="AL12" i="11"/>
  <c r="AH12" i="11"/>
  <c r="AJ12" i="11"/>
  <c r="U13" i="11"/>
  <c r="AG13" i="11" s="1"/>
  <c r="V13" i="11"/>
  <c r="W13" i="11" s="1"/>
  <c r="T12" i="9"/>
  <c r="AF11" i="9"/>
  <c r="AE11" i="9"/>
  <c r="AD11" i="9"/>
  <c r="AB11" i="9"/>
  <c r="AA11" i="9"/>
  <c r="AM10" i="9"/>
  <c r="AV28" i="8"/>
  <c r="AU29" i="8"/>
  <c r="X14" i="8"/>
  <c r="T14" i="11" l="1"/>
  <c r="AE13" i="11"/>
  <c r="AF13" i="11"/>
  <c r="AD13" i="11"/>
  <c r="AI14" i="11"/>
  <c r="AB13" i="11"/>
  <c r="Z14" i="11" s="1"/>
  <c r="AA13" i="11"/>
  <c r="Y14" i="11" s="1"/>
  <c r="AK12" i="11"/>
  <c r="AM12" i="11" s="1"/>
  <c r="Y12" i="9"/>
  <c r="AI11" i="9"/>
  <c r="Z12" i="9"/>
  <c r="AL11" i="9"/>
  <c r="AH11" i="9"/>
  <c r="AJ11" i="9"/>
  <c r="U12" i="9"/>
  <c r="AG12" i="9" s="1"/>
  <c r="U15" i="8"/>
  <c r="AG14" i="8"/>
  <c r="AF14" i="8"/>
  <c r="AE14" i="8"/>
  <c r="AC14" i="8"/>
  <c r="AV29" i="8"/>
  <c r="AU30" i="8" s="1"/>
  <c r="AI16" i="11" l="1"/>
  <c r="AI20" i="11"/>
  <c r="AI18" i="11"/>
  <c r="AH13" i="11"/>
  <c r="AJ13" i="11"/>
  <c r="AL13" i="11"/>
  <c r="U14" i="11"/>
  <c r="AG14" i="11" s="1"/>
  <c r="V14" i="11"/>
  <c r="AK11" i="9"/>
  <c r="V12" i="9"/>
  <c r="W12" i="9"/>
  <c r="AV30" i="8"/>
  <c r="AU31" i="8"/>
  <c r="AA15" i="8"/>
  <c r="AN14" i="8"/>
  <c r="V15" i="8"/>
  <c r="AH15" i="8" s="1"/>
  <c r="W15" i="8"/>
  <c r="X15" i="8"/>
  <c r="AG16" i="11" l="1"/>
  <c r="AG20" i="11"/>
  <c r="AG18" i="11"/>
  <c r="AK13" i="11"/>
  <c r="AM13" i="11" s="1"/>
  <c r="W14" i="11"/>
  <c r="AM11" i="9"/>
  <c r="AF12" i="9"/>
  <c r="AE12" i="9"/>
  <c r="AD12" i="9"/>
  <c r="T13" i="9"/>
  <c r="AB12" i="9"/>
  <c r="AA12" i="9"/>
  <c r="AF15" i="8"/>
  <c r="AE15" i="8"/>
  <c r="U16" i="8"/>
  <c r="AG15" i="8"/>
  <c r="AC15" i="8"/>
  <c r="AA16" i="8" s="1"/>
  <c r="AN15" i="8"/>
  <c r="AV31" i="8"/>
  <c r="AU32" i="8"/>
  <c r="AD14" i="11" l="1"/>
  <c r="AF14" i="11"/>
  <c r="AE14" i="11"/>
  <c r="AB14" i="11"/>
  <c r="AL14" i="11" s="1"/>
  <c r="AA14" i="11"/>
  <c r="U13" i="9"/>
  <c r="AG13" i="9" s="1"/>
  <c r="V13" i="9"/>
  <c r="Z13" i="9"/>
  <c r="AL12" i="9"/>
  <c r="AH12" i="9"/>
  <c r="AJ12" i="9"/>
  <c r="Y13" i="9"/>
  <c r="AI12" i="9"/>
  <c r="AV32" i="8"/>
  <c r="AU33" i="8" s="1"/>
  <c r="V16" i="8"/>
  <c r="AH16" i="8" s="1"/>
  <c r="AE16" i="11" l="1"/>
  <c r="AE18" i="11"/>
  <c r="AE20" i="11"/>
  <c r="AF20" i="11"/>
  <c r="AF16" i="11"/>
  <c r="AF18" i="11"/>
  <c r="AL18" i="11"/>
  <c r="AL16" i="11"/>
  <c r="AL20" i="11"/>
  <c r="AH14" i="11"/>
  <c r="AD20" i="11"/>
  <c r="AD16" i="11"/>
  <c r="AD18" i="11"/>
  <c r="AJ14" i="11"/>
  <c r="AK12" i="9"/>
  <c r="W13" i="9"/>
  <c r="AV33" i="8"/>
  <c r="AU34" i="8" s="1"/>
  <c r="W16" i="8"/>
  <c r="X16" i="8" s="1"/>
  <c r="AJ16" i="11" l="1"/>
  <c r="AJ18" i="11"/>
  <c r="AJ20" i="11"/>
  <c r="AK14" i="11"/>
  <c r="AH20" i="11"/>
  <c r="AH18" i="11"/>
  <c r="AH16" i="11"/>
  <c r="T14" i="9"/>
  <c r="AF13" i="9"/>
  <c r="AE13" i="9"/>
  <c r="AD13" i="9"/>
  <c r="AA13" i="9"/>
  <c r="AB13" i="9"/>
  <c r="AM12" i="9"/>
  <c r="AV34" i="8"/>
  <c r="AU35" i="8"/>
  <c r="AE16" i="8"/>
  <c r="U17" i="8"/>
  <c r="AG16" i="8"/>
  <c r="AF16" i="8"/>
  <c r="AC16" i="8"/>
  <c r="AM14" i="11" l="1"/>
  <c r="AK16" i="11"/>
  <c r="AK18" i="11"/>
  <c r="AK20" i="11"/>
  <c r="AO4" i="11" s="1"/>
  <c r="Z14" i="9"/>
  <c r="AL13" i="9"/>
  <c r="Y14" i="9"/>
  <c r="AI13" i="9"/>
  <c r="AH13" i="9"/>
  <c r="AJ13" i="9"/>
  <c r="U14" i="9"/>
  <c r="AG14" i="9" s="1"/>
  <c r="AA17" i="8"/>
  <c r="AN16" i="8"/>
  <c r="V17" i="8"/>
  <c r="AH17" i="8" s="1"/>
  <c r="AV35" i="8"/>
  <c r="AU36" i="8"/>
  <c r="AM18" i="11" l="1"/>
  <c r="AM16" i="11"/>
  <c r="AM20" i="11"/>
  <c r="AO6" i="11" s="1"/>
  <c r="AK13" i="9"/>
  <c r="V14" i="9"/>
  <c r="W14" i="9" s="1"/>
  <c r="AV36" i="8"/>
  <c r="AU37" i="8" s="1"/>
  <c r="W17" i="8"/>
  <c r="X17" i="8" s="1"/>
  <c r="T15" i="9" l="1"/>
  <c r="AF14" i="9"/>
  <c r="AE14" i="9"/>
  <c r="AD14" i="9"/>
  <c r="AB14" i="9"/>
  <c r="AA14" i="9"/>
  <c r="AM13" i="9"/>
  <c r="AG17" i="8"/>
  <c r="AF17" i="8"/>
  <c r="U18" i="8"/>
  <c r="AE17" i="8"/>
  <c r="AC17" i="8"/>
  <c r="AV37" i="8"/>
  <c r="AU38" i="8" s="1"/>
  <c r="Z15" i="9" l="1"/>
  <c r="AL14" i="9"/>
  <c r="Y15" i="9"/>
  <c r="AI14" i="9"/>
  <c r="AH14" i="9"/>
  <c r="AJ14" i="9"/>
  <c r="U15" i="9"/>
  <c r="AG15" i="9" s="1"/>
  <c r="AV38" i="8"/>
  <c r="AU39" i="8" s="1"/>
  <c r="AA18" i="8"/>
  <c r="AN17" i="8"/>
  <c r="V18" i="8"/>
  <c r="AH18" i="8" s="1"/>
  <c r="W18" i="8"/>
  <c r="V15" i="9" l="1"/>
  <c r="W15" i="9" s="1"/>
  <c r="AE15" i="9"/>
  <c r="AD15" i="9"/>
  <c r="T16" i="9"/>
  <c r="AF15" i="9"/>
  <c r="AB15" i="9"/>
  <c r="Z16" i="9" s="1"/>
  <c r="AA15" i="9"/>
  <c r="Y16" i="9" s="1"/>
  <c r="AL15" i="9"/>
  <c r="AK14" i="9"/>
  <c r="AM14" i="9" s="1"/>
  <c r="AV39" i="8"/>
  <c r="AU40" i="8" s="1"/>
  <c r="X18" i="8"/>
  <c r="U16" i="9" l="1"/>
  <c r="AG16" i="9" s="1"/>
  <c r="AH15" i="9"/>
  <c r="AI15" i="9"/>
  <c r="AJ15" i="9"/>
  <c r="AV40" i="8"/>
  <c r="AU41" i="8"/>
  <c r="U19" i="8"/>
  <c r="AG18" i="8"/>
  <c r="AF18" i="8"/>
  <c r="AE18" i="8"/>
  <c r="AC18" i="8"/>
  <c r="V16" i="9" l="1"/>
  <c r="W16" i="9"/>
  <c r="AK15" i="9"/>
  <c r="AM15" i="9" s="1"/>
  <c r="AV41" i="8"/>
  <c r="AU42" i="8"/>
  <c r="AA19" i="8"/>
  <c r="AN18" i="8"/>
  <c r="V19" i="8"/>
  <c r="AH19" i="8" s="1"/>
  <c r="W19" i="8"/>
  <c r="X19" i="8"/>
  <c r="T17" i="9" l="1"/>
  <c r="AF16" i="9"/>
  <c r="AE16" i="9"/>
  <c r="AD16" i="9"/>
  <c r="AB16" i="9"/>
  <c r="AA16" i="9"/>
  <c r="AF19" i="8"/>
  <c r="AE19" i="8"/>
  <c r="U20" i="8"/>
  <c r="AG19" i="8"/>
  <c r="AC19" i="8"/>
  <c r="AA20" i="8" s="1"/>
  <c r="AN19" i="8"/>
  <c r="AV42" i="8"/>
  <c r="AU43" i="8" s="1"/>
  <c r="Y17" i="9" l="1"/>
  <c r="AI16" i="9"/>
  <c r="Z17" i="9"/>
  <c r="AL16" i="9"/>
  <c r="AH16" i="9"/>
  <c r="AJ16" i="9"/>
  <c r="U17" i="9"/>
  <c r="AG17" i="9" s="1"/>
  <c r="AV43" i="8"/>
  <c r="AU44" i="8"/>
  <c r="V20" i="8"/>
  <c r="AH20" i="8" s="1"/>
  <c r="V17" i="9" l="1"/>
  <c r="W17" i="9" s="1"/>
  <c r="T18" i="9"/>
  <c r="AF17" i="9"/>
  <c r="AE17" i="9"/>
  <c r="AD17" i="9"/>
  <c r="AB17" i="9"/>
  <c r="Z18" i="9" s="1"/>
  <c r="AA17" i="9"/>
  <c r="Y18" i="9" s="1"/>
  <c r="AL17" i="9"/>
  <c r="AK16" i="9"/>
  <c r="AM16" i="9" s="1"/>
  <c r="W20" i="8"/>
  <c r="X20" i="8"/>
  <c r="AV44" i="8"/>
  <c r="AU45" i="8"/>
  <c r="AH17" i="9" l="1"/>
  <c r="AI17" i="9"/>
  <c r="AJ17" i="9"/>
  <c r="AK17" i="9" s="1"/>
  <c r="AM17" i="9" s="1"/>
  <c r="U18" i="9"/>
  <c r="AG18" i="9" s="1"/>
  <c r="AV45" i="8"/>
  <c r="AU46" i="8" s="1"/>
  <c r="AE20" i="8"/>
  <c r="AF20" i="8"/>
  <c r="U21" i="8"/>
  <c r="AG20" i="8"/>
  <c r="AC20" i="8"/>
  <c r="V18" i="9" l="1"/>
  <c r="W18" i="9" s="1"/>
  <c r="AV46" i="8"/>
  <c r="AU47" i="8" s="1"/>
  <c r="AA21" i="8"/>
  <c r="AN20" i="8"/>
  <c r="V21" i="8"/>
  <c r="AH21" i="8" s="1"/>
  <c r="AD18" i="9" l="1"/>
  <c r="T19" i="9"/>
  <c r="AF18" i="9"/>
  <c r="AE18" i="9"/>
  <c r="AB18" i="9"/>
  <c r="AA18" i="9"/>
  <c r="AV47" i="8"/>
  <c r="AU48" i="8"/>
  <c r="X21" i="8"/>
  <c r="W21" i="8"/>
  <c r="Z19" i="9" l="1"/>
  <c r="AL18" i="9"/>
  <c r="AH18" i="9"/>
  <c r="AJ18" i="9"/>
  <c r="Y19" i="9"/>
  <c r="AI18" i="9"/>
  <c r="U19" i="9"/>
  <c r="AG19" i="9" s="1"/>
  <c r="AV48" i="8"/>
  <c r="AU49" i="8"/>
  <c r="AG21" i="8"/>
  <c r="AF21" i="8"/>
  <c r="U22" i="8"/>
  <c r="AE21" i="8"/>
  <c r="AC21" i="8"/>
  <c r="V19" i="9" l="1"/>
  <c r="W19" i="9" s="1"/>
  <c r="T20" i="9"/>
  <c r="AF19" i="9"/>
  <c r="AE19" i="9"/>
  <c r="AD19" i="9"/>
  <c r="AH19" i="9" s="1"/>
  <c r="AB19" i="9"/>
  <c r="Z20" i="9" s="1"/>
  <c r="AA19" i="9"/>
  <c r="Y20" i="9" s="1"/>
  <c r="AI19" i="9"/>
  <c r="AK18" i="9"/>
  <c r="AM18" i="9" s="1"/>
  <c r="AA22" i="8"/>
  <c r="AN21" i="8"/>
  <c r="V22" i="8"/>
  <c r="AH22" i="8" s="1"/>
  <c r="W22" i="8"/>
  <c r="AV49" i="8"/>
  <c r="AU50" i="8" s="1"/>
  <c r="AJ19" i="9" l="1"/>
  <c r="AK19" i="9"/>
  <c r="AL19" i="9"/>
  <c r="U20" i="9"/>
  <c r="AG20" i="9" s="1"/>
  <c r="AV50" i="8"/>
  <c r="AU51" i="8" s="1"/>
  <c r="X22" i="8"/>
  <c r="V20" i="9" l="1"/>
  <c r="W20" i="9" s="1"/>
  <c r="AM19" i="9"/>
  <c r="AV51" i="8"/>
  <c r="AU52" i="8"/>
  <c r="U23" i="8"/>
  <c r="AG22" i="8"/>
  <c r="AF22" i="8"/>
  <c r="AE22" i="8"/>
  <c r="AC22" i="8"/>
  <c r="AF20" i="9" l="1"/>
  <c r="AE20" i="9"/>
  <c r="AD20" i="9"/>
  <c r="T21" i="9"/>
  <c r="AB20" i="9"/>
  <c r="AA20" i="9"/>
  <c r="AV52" i="8"/>
  <c r="AU53" i="8"/>
  <c r="AA23" i="8"/>
  <c r="AN22" i="8"/>
  <c r="V23" i="8"/>
  <c r="AH23" i="8" s="1"/>
  <c r="W23" i="8"/>
  <c r="X23" i="8"/>
  <c r="Y21" i="9" l="1"/>
  <c r="AI20" i="9"/>
  <c r="Z21" i="9"/>
  <c r="AL20" i="9"/>
  <c r="U21" i="9"/>
  <c r="AG21" i="9" s="1"/>
  <c r="V21" i="9"/>
  <c r="AH20" i="9"/>
  <c r="AK20" i="9" s="1"/>
  <c r="AM20" i="9" s="1"/>
  <c r="AJ20" i="9"/>
  <c r="AF23" i="8"/>
  <c r="AE23" i="8"/>
  <c r="U24" i="8"/>
  <c r="AG23" i="8"/>
  <c r="AC23" i="8"/>
  <c r="AA24" i="8" s="1"/>
  <c r="AN23" i="8"/>
  <c r="AV53" i="8"/>
  <c r="AU54" i="8" s="1"/>
  <c r="W21" i="9" l="1"/>
  <c r="AV54" i="8"/>
  <c r="AU55" i="8"/>
  <c r="V24" i="8"/>
  <c r="AH24" i="8" s="1"/>
  <c r="T22" i="9" l="1"/>
  <c r="AF21" i="9"/>
  <c r="AE21" i="9"/>
  <c r="AD21" i="9"/>
  <c r="AA21" i="9"/>
  <c r="AB21" i="9"/>
  <c r="AV55" i="8"/>
  <c r="AU56" i="8"/>
  <c r="W24" i="8"/>
  <c r="X24" i="8" s="1"/>
  <c r="Z22" i="9" l="1"/>
  <c r="AL21" i="9"/>
  <c r="Y22" i="9"/>
  <c r="AI21" i="9"/>
  <c r="AH21" i="9"/>
  <c r="AJ21" i="9"/>
  <c r="U22" i="9"/>
  <c r="AG22" i="9" s="1"/>
  <c r="U25" i="8"/>
  <c r="AG24" i="8"/>
  <c r="AE24" i="8"/>
  <c r="AF24" i="8"/>
  <c r="AC24" i="8"/>
  <c r="AV56" i="8"/>
  <c r="AU57" i="8" s="1"/>
  <c r="AK21" i="9" l="1"/>
  <c r="AM21" i="9" s="1"/>
  <c r="V22" i="9"/>
  <c r="W22" i="9" s="1"/>
  <c r="AV57" i="8"/>
  <c r="AU58" i="8" s="1"/>
  <c r="AA25" i="8"/>
  <c r="AN24" i="8"/>
  <c r="V25" i="8"/>
  <c r="AH25" i="8" s="1"/>
  <c r="W25" i="8"/>
  <c r="T23" i="9" l="1"/>
  <c r="AF22" i="9"/>
  <c r="AE22" i="9"/>
  <c r="AD22" i="9"/>
  <c r="AB22" i="9"/>
  <c r="AA22" i="9"/>
  <c r="AV58" i="8"/>
  <c r="AU59" i="8"/>
  <c r="X25" i="8"/>
  <c r="Y23" i="9" l="1"/>
  <c r="AI22" i="9"/>
  <c r="Z23" i="9"/>
  <c r="AL22" i="9"/>
  <c r="AH22" i="9"/>
  <c r="AJ22" i="9"/>
  <c r="U23" i="9"/>
  <c r="AG23" i="9" s="1"/>
  <c r="AV59" i="8"/>
  <c r="AU60" i="8" s="1"/>
  <c r="U26" i="8"/>
  <c r="AG25" i="8"/>
  <c r="AF25" i="8"/>
  <c r="AE25" i="8"/>
  <c r="AC25" i="8"/>
  <c r="AK22" i="9" l="1"/>
  <c r="AM22" i="9" s="1"/>
  <c r="V23" i="9"/>
  <c r="W23" i="9" s="1"/>
  <c r="AV60" i="8"/>
  <c r="AU61" i="8" s="1"/>
  <c r="AA26" i="8"/>
  <c r="AN25" i="8"/>
  <c r="V26" i="8"/>
  <c r="AH26" i="8" s="1"/>
  <c r="W26" i="8"/>
  <c r="AE23" i="9" l="1"/>
  <c r="AD23" i="9"/>
  <c r="T24" i="9"/>
  <c r="AF23" i="9"/>
  <c r="AB23" i="9"/>
  <c r="AA23" i="9"/>
  <c r="AV61" i="8"/>
  <c r="AU62" i="8"/>
  <c r="X26" i="8"/>
  <c r="U24" i="9" l="1"/>
  <c r="AG24" i="9" s="1"/>
  <c r="Z24" i="9"/>
  <c r="AL23" i="9"/>
  <c r="AH23" i="9"/>
  <c r="AJ23" i="9"/>
  <c r="Y24" i="9"/>
  <c r="AI23" i="9"/>
  <c r="U27" i="8"/>
  <c r="AG26" i="8"/>
  <c r="AF26" i="8"/>
  <c r="AE26" i="8"/>
  <c r="AC26" i="8"/>
  <c r="AV62" i="8"/>
  <c r="AU63" i="8" s="1"/>
  <c r="V24" i="9" l="1"/>
  <c r="AK23" i="9"/>
  <c r="AM23" i="9" s="1"/>
  <c r="W24" i="9"/>
  <c r="AV63" i="8"/>
  <c r="AU64" i="8"/>
  <c r="AA27" i="8"/>
  <c r="AN26" i="8"/>
  <c r="V27" i="8"/>
  <c r="AH27" i="8" s="1"/>
  <c r="W27" i="8"/>
  <c r="T25" i="9" l="1"/>
  <c r="AF24" i="9"/>
  <c r="AE24" i="9"/>
  <c r="AD24" i="9"/>
  <c r="AB24" i="9"/>
  <c r="AA24" i="9"/>
  <c r="AV64" i="8"/>
  <c r="AU65" i="8" s="1"/>
  <c r="X27" i="8"/>
  <c r="Y25" i="9" l="1"/>
  <c r="AI24" i="9"/>
  <c r="Z25" i="9"/>
  <c r="AL24" i="9"/>
  <c r="AH24" i="9"/>
  <c r="AJ24" i="9"/>
  <c r="U25" i="9"/>
  <c r="AG25" i="9" s="1"/>
  <c r="AV65" i="8"/>
  <c r="AU66" i="8" s="1"/>
  <c r="AF27" i="8"/>
  <c r="AE27" i="8"/>
  <c r="U28" i="8"/>
  <c r="AG27" i="8"/>
  <c r="AC27" i="8"/>
  <c r="V25" i="9" l="1"/>
  <c r="W25" i="9" s="1"/>
  <c r="T26" i="9"/>
  <c r="AF25" i="9"/>
  <c r="AE25" i="9"/>
  <c r="AD25" i="9"/>
  <c r="AH25" i="9" s="1"/>
  <c r="AB25" i="9"/>
  <c r="Z26" i="9" s="1"/>
  <c r="AA25" i="9"/>
  <c r="Y26" i="9" s="1"/>
  <c r="AK24" i="9"/>
  <c r="AM24" i="9" s="1"/>
  <c r="AV66" i="8"/>
  <c r="AU67" i="8"/>
  <c r="AA28" i="8"/>
  <c r="AN27" i="8"/>
  <c r="V28" i="8"/>
  <c r="AH28" i="8" s="1"/>
  <c r="AL25" i="9" l="1"/>
  <c r="AI25" i="9"/>
  <c r="AJ25" i="9"/>
  <c r="AK25" i="9" s="1"/>
  <c r="AM25" i="9" s="1"/>
  <c r="U26" i="9"/>
  <c r="AG26" i="9" s="1"/>
  <c r="W28" i="8"/>
  <c r="X28" i="8"/>
  <c r="AV67" i="8"/>
  <c r="AU68" i="8"/>
  <c r="V26" i="9" l="1"/>
  <c r="W26" i="9" s="1"/>
  <c r="AV68" i="8"/>
  <c r="AU69" i="8" s="1"/>
  <c r="U29" i="8"/>
  <c r="AG28" i="8"/>
  <c r="AF28" i="8"/>
  <c r="AE28" i="8"/>
  <c r="AC28" i="8"/>
  <c r="AD26" i="9" l="1"/>
  <c r="T27" i="9"/>
  <c r="AF26" i="9"/>
  <c r="AE26" i="9"/>
  <c r="AB26" i="9"/>
  <c r="AA26" i="9"/>
  <c r="AV69" i="8"/>
  <c r="AU70" i="8" s="1"/>
  <c r="AA29" i="8"/>
  <c r="AN28" i="8"/>
  <c r="V29" i="8"/>
  <c r="AH29" i="8" s="1"/>
  <c r="Y27" i="9" l="1"/>
  <c r="AI26" i="9"/>
  <c r="Z27" i="9"/>
  <c r="AL26" i="9"/>
  <c r="U27" i="9"/>
  <c r="AG27" i="9" s="1"/>
  <c r="AH26" i="9"/>
  <c r="AJ26" i="9"/>
  <c r="AV70" i="8"/>
  <c r="AU71" i="8"/>
  <c r="W29" i="8"/>
  <c r="X29" i="8" s="1"/>
  <c r="AK26" i="9" l="1"/>
  <c r="AM26" i="9" s="1"/>
  <c r="V27" i="9"/>
  <c r="W27" i="9"/>
  <c r="AF29" i="8"/>
  <c r="AE29" i="8"/>
  <c r="U30" i="8"/>
  <c r="AG29" i="8"/>
  <c r="AC29" i="8"/>
  <c r="AV71" i="8"/>
  <c r="AU72" i="8" s="1"/>
  <c r="T28" i="9" l="1"/>
  <c r="AF27" i="9"/>
  <c r="AE27" i="9"/>
  <c r="AD27" i="9"/>
  <c r="AA27" i="9"/>
  <c r="AB27" i="9"/>
  <c r="AV72" i="8"/>
  <c r="AU73" i="8" s="1"/>
  <c r="AA30" i="8"/>
  <c r="AN29" i="8"/>
  <c r="V30" i="8"/>
  <c r="AH30" i="8" s="1"/>
  <c r="W30" i="8"/>
  <c r="Z28" i="9" l="1"/>
  <c r="AL27" i="9"/>
  <c r="Y28" i="9"/>
  <c r="AI27" i="9"/>
  <c r="AH27" i="9"/>
  <c r="AJ27" i="9"/>
  <c r="U28" i="9"/>
  <c r="AG28" i="9" s="1"/>
  <c r="AV73" i="8"/>
  <c r="AU74" i="8"/>
  <c r="X30" i="8"/>
  <c r="V28" i="9" l="1"/>
  <c r="AK27" i="9"/>
  <c r="AM27" i="9" s="1"/>
  <c r="W28" i="9"/>
  <c r="AG30" i="8"/>
  <c r="AF30" i="8"/>
  <c r="U31" i="8"/>
  <c r="AE30" i="8"/>
  <c r="AC30" i="8"/>
  <c r="AV74" i="8"/>
  <c r="AU75" i="8"/>
  <c r="AF28" i="9" l="1"/>
  <c r="AE28" i="9"/>
  <c r="AD28" i="9"/>
  <c r="T29" i="9"/>
  <c r="AB28" i="9"/>
  <c r="AA28" i="9"/>
  <c r="AV75" i="8"/>
  <c r="AU76" i="8" s="1"/>
  <c r="AA31" i="8"/>
  <c r="AN30" i="8"/>
  <c r="V31" i="8"/>
  <c r="AH31" i="8" s="1"/>
  <c r="W31" i="8"/>
  <c r="AH28" i="9" l="1"/>
  <c r="AJ28" i="9"/>
  <c r="Y29" i="9"/>
  <c r="AI28" i="9"/>
  <c r="Z29" i="9"/>
  <c r="AL28" i="9"/>
  <c r="U29" i="9"/>
  <c r="AG29" i="9" s="1"/>
  <c r="AV76" i="8"/>
  <c r="AU77" i="8" s="1"/>
  <c r="X31" i="8"/>
  <c r="AG31" i="9" l="1"/>
  <c r="AG33" i="9"/>
  <c r="V29" i="9"/>
  <c r="W29" i="9" s="1"/>
  <c r="AK28" i="9"/>
  <c r="AM28" i="9" s="1"/>
  <c r="AV77" i="8"/>
  <c r="AU78" i="8"/>
  <c r="U32" i="8"/>
  <c r="AG31" i="8"/>
  <c r="AF31" i="8"/>
  <c r="AE31" i="8"/>
  <c r="AC31" i="8"/>
  <c r="AF29" i="9" l="1"/>
  <c r="AE29" i="9"/>
  <c r="AD29" i="9"/>
  <c r="AB29" i="9"/>
  <c r="AL29" i="9" s="1"/>
  <c r="AA29" i="9"/>
  <c r="AI29" i="9" s="1"/>
  <c r="AA32" i="8"/>
  <c r="AN31" i="8"/>
  <c r="V32" i="8"/>
  <c r="AH32" i="8" s="1"/>
  <c r="W32" i="8"/>
  <c r="AV78" i="8"/>
  <c r="AU79" i="8" s="1"/>
  <c r="AI33" i="9" l="1"/>
  <c r="AI31" i="9"/>
  <c r="AL33" i="9"/>
  <c r="AL31" i="9"/>
  <c r="AH29" i="9"/>
  <c r="AD31" i="9"/>
  <c r="AD33" i="9"/>
  <c r="AJ29" i="9"/>
  <c r="AE33" i="9"/>
  <c r="AE31" i="9"/>
  <c r="AF31" i="9"/>
  <c r="AF33" i="9"/>
  <c r="AV79" i="8"/>
  <c r="AU1" i="8"/>
  <c r="AU2" i="8"/>
  <c r="X32" i="8"/>
  <c r="AJ33" i="9" l="1"/>
  <c r="AJ31" i="9"/>
  <c r="AK29" i="9"/>
  <c r="AH33" i="9"/>
  <c r="AH31" i="9"/>
  <c r="AE32" i="8"/>
  <c r="U33" i="8"/>
  <c r="AG32" i="8"/>
  <c r="AF32" i="8"/>
  <c r="AC32" i="8"/>
  <c r="AV1" i="8"/>
  <c r="AW1" i="8" s="1"/>
  <c r="AV2" i="8"/>
  <c r="AW2" i="8" s="1"/>
  <c r="AM29" i="9" l="1"/>
  <c r="AK31" i="9"/>
  <c r="AK33" i="9"/>
  <c r="AX75" i="8"/>
  <c r="N75" i="8" s="1"/>
  <c r="P75" i="8" s="1"/>
  <c r="AX71" i="8"/>
  <c r="N71" i="8" s="1"/>
  <c r="P71" i="8" s="1"/>
  <c r="AX67" i="8"/>
  <c r="N67" i="8" s="1"/>
  <c r="P67" i="8" s="1"/>
  <c r="AX63" i="8"/>
  <c r="N63" i="8" s="1"/>
  <c r="P63" i="8" s="1"/>
  <c r="AX78" i="8"/>
  <c r="N78" i="8" s="1"/>
  <c r="P78" i="8" s="1"/>
  <c r="AX77" i="8"/>
  <c r="N77" i="8" s="1"/>
  <c r="P77" i="8" s="1"/>
  <c r="AX61" i="8"/>
  <c r="N61" i="8" s="1"/>
  <c r="P61" i="8" s="1"/>
  <c r="AX72" i="8"/>
  <c r="N72" i="8" s="1"/>
  <c r="P72" i="8" s="1"/>
  <c r="AX69" i="8"/>
  <c r="N69" i="8" s="1"/>
  <c r="P69" i="8" s="1"/>
  <c r="AX62" i="8"/>
  <c r="N62" i="8" s="1"/>
  <c r="P62" i="8" s="1"/>
  <c r="AX56" i="8"/>
  <c r="N56" i="8" s="1"/>
  <c r="P56" i="8" s="1"/>
  <c r="AX74" i="8"/>
  <c r="N74" i="8" s="1"/>
  <c r="P74" i="8" s="1"/>
  <c r="AX73" i="8"/>
  <c r="N73" i="8" s="1"/>
  <c r="P73" i="8" s="1"/>
  <c r="AX76" i="8"/>
  <c r="N76" i="8" s="1"/>
  <c r="P76" i="8" s="1"/>
  <c r="AX66" i="8"/>
  <c r="N66" i="8" s="1"/>
  <c r="P66" i="8" s="1"/>
  <c r="AX65" i="8"/>
  <c r="N65" i="8" s="1"/>
  <c r="P65" i="8" s="1"/>
  <c r="AX64" i="8"/>
  <c r="N64" i="8" s="1"/>
  <c r="P64" i="8" s="1"/>
  <c r="AX50" i="8"/>
  <c r="N50" i="8" s="1"/>
  <c r="P50" i="8" s="1"/>
  <c r="AX46" i="8"/>
  <c r="N46" i="8" s="1"/>
  <c r="P46" i="8" s="1"/>
  <c r="AX42" i="8"/>
  <c r="N42" i="8" s="1"/>
  <c r="P42" i="8" s="1"/>
  <c r="AX60" i="8"/>
  <c r="N60" i="8" s="1"/>
  <c r="P60" i="8" s="1"/>
  <c r="AX59" i="8"/>
  <c r="N59" i="8" s="1"/>
  <c r="P59" i="8" s="1"/>
  <c r="AX58" i="8"/>
  <c r="N58" i="8" s="1"/>
  <c r="P58" i="8" s="1"/>
  <c r="AX51" i="8"/>
  <c r="N51" i="8" s="1"/>
  <c r="P51" i="8" s="1"/>
  <c r="AX47" i="8"/>
  <c r="N47" i="8" s="1"/>
  <c r="P47" i="8" s="1"/>
  <c r="AX43" i="8"/>
  <c r="N43" i="8" s="1"/>
  <c r="P43" i="8" s="1"/>
  <c r="AX52" i="8"/>
  <c r="N52" i="8" s="1"/>
  <c r="P52" i="8" s="1"/>
  <c r="AX44" i="8"/>
  <c r="N44" i="8" s="1"/>
  <c r="P44" i="8" s="1"/>
  <c r="AX41" i="8"/>
  <c r="N41" i="8" s="1"/>
  <c r="P41" i="8" s="1"/>
  <c r="AX53" i="8"/>
  <c r="N53" i="8" s="1"/>
  <c r="P53" i="8" s="1"/>
  <c r="AX45" i="8"/>
  <c r="N45" i="8" s="1"/>
  <c r="P45" i="8" s="1"/>
  <c r="AX36" i="8"/>
  <c r="N36" i="8" s="1"/>
  <c r="P36" i="8" s="1"/>
  <c r="AX70" i="8"/>
  <c r="N70" i="8" s="1"/>
  <c r="P70" i="8" s="1"/>
  <c r="AX55" i="8"/>
  <c r="N55" i="8" s="1"/>
  <c r="P55" i="8" s="1"/>
  <c r="AX39" i="8"/>
  <c r="N39" i="8" s="1"/>
  <c r="P39" i="8" s="1"/>
  <c r="AX35" i="8"/>
  <c r="N35" i="8" s="1"/>
  <c r="P35" i="8" s="1"/>
  <c r="AX34" i="8"/>
  <c r="N34" i="8" s="1"/>
  <c r="P34" i="8" s="1"/>
  <c r="AX24" i="8"/>
  <c r="N24" i="8" s="1"/>
  <c r="P24" i="8" s="1"/>
  <c r="AI24" i="8" s="1"/>
  <c r="AJ24" i="8" s="1"/>
  <c r="AX20" i="8"/>
  <c r="N20" i="8" s="1"/>
  <c r="P20" i="8" s="1"/>
  <c r="AI20" i="8" s="1"/>
  <c r="AJ20" i="8" s="1"/>
  <c r="AX16" i="8"/>
  <c r="N16" i="8" s="1"/>
  <c r="P16" i="8" s="1"/>
  <c r="AI16" i="8" s="1"/>
  <c r="AJ16" i="8" s="1"/>
  <c r="AX12" i="8"/>
  <c r="N12" i="8" s="1"/>
  <c r="P12" i="8" s="1"/>
  <c r="AI12" i="8" s="1"/>
  <c r="AJ12" i="8" s="1"/>
  <c r="AX8" i="8"/>
  <c r="N8" i="8" s="1"/>
  <c r="P8" i="8" s="1"/>
  <c r="AI8" i="8" s="1"/>
  <c r="AJ8" i="8" s="1"/>
  <c r="AX28" i="8"/>
  <c r="N28" i="8" s="1"/>
  <c r="P28" i="8" s="1"/>
  <c r="AI28" i="8" s="1"/>
  <c r="AJ28" i="8" s="1"/>
  <c r="AX27" i="8"/>
  <c r="N27" i="8" s="1"/>
  <c r="P27" i="8" s="1"/>
  <c r="AI27" i="8" s="1"/>
  <c r="AJ27" i="8" s="1"/>
  <c r="AX23" i="8"/>
  <c r="N23" i="8" s="1"/>
  <c r="P23" i="8" s="1"/>
  <c r="AI23" i="8" s="1"/>
  <c r="AJ23" i="8" s="1"/>
  <c r="AX19" i="8"/>
  <c r="N19" i="8" s="1"/>
  <c r="P19" i="8" s="1"/>
  <c r="AI19" i="8" s="1"/>
  <c r="AJ19" i="8" s="1"/>
  <c r="AX15" i="8"/>
  <c r="N15" i="8" s="1"/>
  <c r="P15" i="8" s="1"/>
  <c r="AI15" i="8" s="1"/>
  <c r="AJ15" i="8" s="1"/>
  <c r="AX11" i="8"/>
  <c r="N11" i="8" s="1"/>
  <c r="P11" i="8" s="1"/>
  <c r="AI11" i="8" s="1"/>
  <c r="AJ11" i="8" s="1"/>
  <c r="AX7" i="8"/>
  <c r="N7" i="8" s="1"/>
  <c r="P7" i="8" s="1"/>
  <c r="AI7" i="8" s="1"/>
  <c r="AJ7" i="8" s="1"/>
  <c r="AX57" i="8"/>
  <c r="N57" i="8" s="1"/>
  <c r="P57" i="8" s="1"/>
  <c r="AX40" i="8"/>
  <c r="N40" i="8" s="1"/>
  <c r="P40" i="8" s="1"/>
  <c r="AX32" i="8"/>
  <c r="N32" i="8" s="1"/>
  <c r="P32" i="8" s="1"/>
  <c r="AI32" i="8" s="1"/>
  <c r="AX29" i="8"/>
  <c r="N29" i="8" s="1"/>
  <c r="P29" i="8" s="1"/>
  <c r="AI29" i="8" s="1"/>
  <c r="AJ29" i="8" s="1"/>
  <c r="AX26" i="8"/>
  <c r="N26" i="8" s="1"/>
  <c r="P26" i="8" s="1"/>
  <c r="AI26" i="8" s="1"/>
  <c r="AJ26" i="8" s="1"/>
  <c r="AX49" i="8"/>
  <c r="N49" i="8" s="1"/>
  <c r="P49" i="8" s="1"/>
  <c r="AX37" i="8"/>
  <c r="N37" i="8" s="1"/>
  <c r="P37" i="8" s="1"/>
  <c r="AX48" i="8"/>
  <c r="N48" i="8" s="1"/>
  <c r="P48" i="8" s="1"/>
  <c r="AX38" i="8"/>
  <c r="N38" i="8" s="1"/>
  <c r="P38" i="8" s="1"/>
  <c r="AX30" i="8"/>
  <c r="N30" i="8" s="1"/>
  <c r="P30" i="8" s="1"/>
  <c r="AI30" i="8" s="1"/>
  <c r="AJ30" i="8" s="1"/>
  <c r="AX68" i="8"/>
  <c r="N68" i="8" s="1"/>
  <c r="P68" i="8" s="1"/>
  <c r="AX54" i="8"/>
  <c r="N54" i="8" s="1"/>
  <c r="P54" i="8" s="1"/>
  <c r="AX33" i="8"/>
  <c r="N33" i="8" s="1"/>
  <c r="P33" i="8" s="1"/>
  <c r="AX31" i="8"/>
  <c r="N31" i="8" s="1"/>
  <c r="P31" i="8" s="1"/>
  <c r="AI31" i="8" s="1"/>
  <c r="AJ31" i="8" s="1"/>
  <c r="AX5" i="8"/>
  <c r="N5" i="8" s="1"/>
  <c r="P5" i="8" s="1"/>
  <c r="AI5" i="8" s="1"/>
  <c r="AX21" i="8"/>
  <c r="N21" i="8" s="1"/>
  <c r="P21" i="8" s="1"/>
  <c r="AI21" i="8" s="1"/>
  <c r="AJ21" i="8" s="1"/>
  <c r="AX6" i="8"/>
  <c r="N6" i="8" s="1"/>
  <c r="P6" i="8" s="1"/>
  <c r="AI6" i="8" s="1"/>
  <c r="AJ6" i="8" s="1"/>
  <c r="AX18" i="8"/>
  <c r="N18" i="8" s="1"/>
  <c r="P18" i="8" s="1"/>
  <c r="AI18" i="8" s="1"/>
  <c r="AJ18" i="8" s="1"/>
  <c r="AX13" i="8"/>
  <c r="N13" i="8" s="1"/>
  <c r="P13" i="8" s="1"/>
  <c r="AI13" i="8" s="1"/>
  <c r="AJ13" i="8" s="1"/>
  <c r="AX10" i="8"/>
  <c r="N10" i="8" s="1"/>
  <c r="P10" i="8" s="1"/>
  <c r="AI10" i="8" s="1"/>
  <c r="AJ10" i="8" s="1"/>
  <c r="AX22" i="8"/>
  <c r="N22" i="8" s="1"/>
  <c r="P22" i="8" s="1"/>
  <c r="AI22" i="8" s="1"/>
  <c r="AJ22" i="8" s="1"/>
  <c r="AX17" i="8"/>
  <c r="N17" i="8" s="1"/>
  <c r="P17" i="8" s="1"/>
  <c r="AI17" i="8" s="1"/>
  <c r="AJ17" i="8" s="1"/>
  <c r="AX4" i="8"/>
  <c r="N4" i="8" s="1"/>
  <c r="P4" i="8" s="1"/>
  <c r="AX14" i="8"/>
  <c r="N14" i="8" s="1"/>
  <c r="P14" i="8" s="1"/>
  <c r="AI14" i="8" s="1"/>
  <c r="AJ14" i="8" s="1"/>
  <c r="AX25" i="8"/>
  <c r="N25" i="8" s="1"/>
  <c r="P25" i="8" s="1"/>
  <c r="AI25" i="8" s="1"/>
  <c r="AJ25" i="8" s="1"/>
  <c r="AX9" i="8"/>
  <c r="N9" i="8" s="1"/>
  <c r="P9" i="8" s="1"/>
  <c r="AI9" i="8" s="1"/>
  <c r="AJ9" i="8" s="1"/>
  <c r="AA33" i="8"/>
  <c r="AN32" i="8"/>
  <c r="V33" i="8"/>
  <c r="AH33" i="8" s="1"/>
  <c r="W33" i="8"/>
  <c r="AW76" i="8"/>
  <c r="O76" i="8" s="1"/>
  <c r="Q76" i="8" s="1"/>
  <c r="AW72" i="8"/>
  <c r="O72" i="8" s="1"/>
  <c r="Q72" i="8" s="1"/>
  <c r="AW68" i="8"/>
  <c r="O68" i="8" s="1"/>
  <c r="Q68" i="8" s="1"/>
  <c r="AW64" i="8"/>
  <c r="O64" i="8" s="1"/>
  <c r="Q64" i="8" s="1"/>
  <c r="AW60" i="8"/>
  <c r="O60" i="8" s="1"/>
  <c r="Q60" i="8" s="1"/>
  <c r="AW75" i="8"/>
  <c r="O75" i="8" s="1"/>
  <c r="Q75" i="8" s="1"/>
  <c r="AW66" i="8"/>
  <c r="O66" i="8" s="1"/>
  <c r="Q66" i="8" s="1"/>
  <c r="AW57" i="8"/>
  <c r="O57" i="8" s="1"/>
  <c r="Q57" i="8" s="1"/>
  <c r="AW78" i="8"/>
  <c r="O78" i="8" s="1"/>
  <c r="Q78" i="8" s="1"/>
  <c r="AW77" i="8"/>
  <c r="O77" i="8" s="1"/>
  <c r="Q77" i="8" s="1"/>
  <c r="AW61" i="8"/>
  <c r="O61" i="8" s="1"/>
  <c r="Q61" i="8" s="1"/>
  <c r="AW71" i="8"/>
  <c r="O71" i="8" s="1"/>
  <c r="Q71" i="8" s="1"/>
  <c r="AW69" i="8"/>
  <c r="O69" i="8" s="1"/>
  <c r="Q69" i="8" s="1"/>
  <c r="AW62" i="8"/>
  <c r="O62" i="8" s="1"/>
  <c r="Q62" i="8" s="1"/>
  <c r="AW56" i="8"/>
  <c r="O56" i="8" s="1"/>
  <c r="Q56" i="8" s="1"/>
  <c r="AW73" i="8"/>
  <c r="O73" i="8" s="1"/>
  <c r="Q73" i="8" s="1"/>
  <c r="AW59" i="8"/>
  <c r="O59" i="8" s="1"/>
  <c r="Q59" i="8" s="1"/>
  <c r="AW58" i="8"/>
  <c r="O58" i="8" s="1"/>
  <c r="Q58" i="8" s="1"/>
  <c r="AW74" i="8"/>
  <c r="O74" i="8" s="1"/>
  <c r="Q74" i="8" s="1"/>
  <c r="AW65" i="8"/>
  <c r="O65" i="8" s="1"/>
  <c r="Q65" i="8" s="1"/>
  <c r="AW67" i="8"/>
  <c r="O67" i="8" s="1"/>
  <c r="Q67" i="8" s="1"/>
  <c r="AW50" i="8"/>
  <c r="O50" i="8" s="1"/>
  <c r="Q50" i="8" s="1"/>
  <c r="AW46" i="8"/>
  <c r="O46" i="8" s="1"/>
  <c r="Q46" i="8" s="1"/>
  <c r="AW42" i="8"/>
  <c r="O42" i="8" s="1"/>
  <c r="Q42" i="8" s="1"/>
  <c r="AW63" i="8"/>
  <c r="O63" i="8" s="1"/>
  <c r="Q63" i="8" s="1"/>
  <c r="AW54" i="8"/>
  <c r="O54" i="8" s="1"/>
  <c r="Q54" i="8" s="1"/>
  <c r="AW37" i="8"/>
  <c r="O37" i="8" s="1"/>
  <c r="Q37" i="8" s="1"/>
  <c r="AW33" i="8"/>
  <c r="O33" i="8" s="1"/>
  <c r="Q33" i="8" s="1"/>
  <c r="AW29" i="8"/>
  <c r="O29" i="8" s="1"/>
  <c r="Q29" i="8" s="1"/>
  <c r="AB29" i="8" s="1"/>
  <c r="Z30" i="8" s="1"/>
  <c r="AW52" i="8"/>
  <c r="O52" i="8" s="1"/>
  <c r="Q52" i="8" s="1"/>
  <c r="AW44" i="8"/>
  <c r="O44" i="8" s="1"/>
  <c r="Q44" i="8" s="1"/>
  <c r="AW41" i="8"/>
  <c r="O41" i="8" s="1"/>
  <c r="Q41" i="8" s="1"/>
  <c r="AW53" i="8"/>
  <c r="O53" i="8" s="1"/>
  <c r="Q53" i="8" s="1"/>
  <c r="AW45" i="8"/>
  <c r="O45" i="8" s="1"/>
  <c r="Q45" i="8" s="1"/>
  <c r="AW36" i="8"/>
  <c r="O36" i="8" s="1"/>
  <c r="Q36" i="8" s="1"/>
  <c r="AW32" i="8"/>
  <c r="O32" i="8" s="1"/>
  <c r="Q32" i="8" s="1"/>
  <c r="AB32" i="8" s="1"/>
  <c r="Z33" i="8" s="1"/>
  <c r="AW31" i="8"/>
  <c r="O31" i="8" s="1"/>
  <c r="Q31" i="8" s="1"/>
  <c r="AB31" i="8" s="1"/>
  <c r="Z32" i="8" s="1"/>
  <c r="AW5" i="8"/>
  <c r="O5" i="8" s="1"/>
  <c r="Q5" i="8" s="1"/>
  <c r="AB5" i="8" s="1"/>
  <c r="Z6" i="8" s="1"/>
  <c r="AW55" i="8"/>
  <c r="O55" i="8" s="1"/>
  <c r="Q55" i="8" s="1"/>
  <c r="AW39" i="8"/>
  <c r="O39" i="8" s="1"/>
  <c r="Q39" i="8" s="1"/>
  <c r="AW35" i="8"/>
  <c r="O35" i="8" s="1"/>
  <c r="Q35" i="8" s="1"/>
  <c r="AW34" i="8"/>
  <c r="O34" i="8" s="1"/>
  <c r="Q34" i="8" s="1"/>
  <c r="AW24" i="8"/>
  <c r="O24" i="8" s="1"/>
  <c r="Q24" i="8" s="1"/>
  <c r="AB24" i="8" s="1"/>
  <c r="Z25" i="8" s="1"/>
  <c r="AW20" i="8"/>
  <c r="O20" i="8" s="1"/>
  <c r="Q20" i="8" s="1"/>
  <c r="AB20" i="8" s="1"/>
  <c r="Z21" i="8" s="1"/>
  <c r="AW16" i="8"/>
  <c r="O16" i="8" s="1"/>
  <c r="Q16" i="8" s="1"/>
  <c r="AB16" i="8" s="1"/>
  <c r="Z17" i="8" s="1"/>
  <c r="AW12" i="8"/>
  <c r="O12" i="8" s="1"/>
  <c r="Q12" i="8" s="1"/>
  <c r="AB12" i="8" s="1"/>
  <c r="Z13" i="8" s="1"/>
  <c r="AW8" i="8"/>
  <c r="O8" i="8" s="1"/>
  <c r="Q8" i="8" s="1"/>
  <c r="AB8" i="8" s="1"/>
  <c r="Z9" i="8" s="1"/>
  <c r="AW28" i="8"/>
  <c r="O28" i="8" s="1"/>
  <c r="Q28" i="8" s="1"/>
  <c r="AB28" i="8" s="1"/>
  <c r="Z29" i="8" s="1"/>
  <c r="AW27" i="8"/>
  <c r="O27" i="8" s="1"/>
  <c r="Q27" i="8" s="1"/>
  <c r="AB27" i="8" s="1"/>
  <c r="Z28" i="8" s="1"/>
  <c r="AW23" i="8"/>
  <c r="O23" i="8" s="1"/>
  <c r="Q23" i="8" s="1"/>
  <c r="AB23" i="8" s="1"/>
  <c r="Z24" i="8" s="1"/>
  <c r="AW40" i="8"/>
  <c r="O40" i="8" s="1"/>
  <c r="Q40" i="8" s="1"/>
  <c r="AW51" i="8"/>
  <c r="O51" i="8" s="1"/>
  <c r="Q51" i="8" s="1"/>
  <c r="AW47" i="8"/>
  <c r="O47" i="8" s="1"/>
  <c r="Q47" i="8" s="1"/>
  <c r="AW26" i="8"/>
  <c r="O26" i="8" s="1"/>
  <c r="Q26" i="8" s="1"/>
  <c r="AB26" i="8" s="1"/>
  <c r="Z27" i="8" s="1"/>
  <c r="AW70" i="8"/>
  <c r="O70" i="8" s="1"/>
  <c r="Q70" i="8" s="1"/>
  <c r="AW49" i="8"/>
  <c r="O49" i="8" s="1"/>
  <c r="Q49" i="8" s="1"/>
  <c r="AW43" i="8"/>
  <c r="O43" i="8" s="1"/>
  <c r="Q43" i="8" s="1"/>
  <c r="AW48" i="8"/>
  <c r="O48" i="8" s="1"/>
  <c r="Q48" i="8" s="1"/>
  <c r="AW38" i="8"/>
  <c r="O38" i="8" s="1"/>
  <c r="Q38" i="8" s="1"/>
  <c r="AW30" i="8"/>
  <c r="O30" i="8" s="1"/>
  <c r="Q30" i="8" s="1"/>
  <c r="AB30" i="8" s="1"/>
  <c r="Z31" i="8" s="1"/>
  <c r="AW25" i="8"/>
  <c r="O25" i="8" s="1"/>
  <c r="Q25" i="8" s="1"/>
  <c r="AB25" i="8" s="1"/>
  <c r="Z26" i="8" s="1"/>
  <c r="AW21" i="8"/>
  <c r="O21" i="8" s="1"/>
  <c r="Q21" i="8" s="1"/>
  <c r="AB21" i="8" s="1"/>
  <c r="Z22" i="8" s="1"/>
  <c r="AW17" i="8"/>
  <c r="O17" i="8" s="1"/>
  <c r="Q17" i="8" s="1"/>
  <c r="AB17" i="8" s="1"/>
  <c r="Z18" i="8" s="1"/>
  <c r="AW13" i="8"/>
  <c r="O13" i="8" s="1"/>
  <c r="Q13" i="8" s="1"/>
  <c r="AB13" i="8" s="1"/>
  <c r="Z14" i="8" s="1"/>
  <c r="AW9" i="8"/>
  <c r="O9" i="8" s="1"/>
  <c r="Q9" i="8" s="1"/>
  <c r="AB9" i="8" s="1"/>
  <c r="Z10" i="8" s="1"/>
  <c r="AW15" i="8"/>
  <c r="O15" i="8" s="1"/>
  <c r="Q15" i="8" s="1"/>
  <c r="AB15" i="8" s="1"/>
  <c r="Z16" i="8" s="1"/>
  <c r="AW6" i="8"/>
  <c r="O6" i="8" s="1"/>
  <c r="Q6" i="8" s="1"/>
  <c r="AB6" i="8" s="1"/>
  <c r="Z7" i="8" s="1"/>
  <c r="AW18" i="8"/>
  <c r="O18" i="8" s="1"/>
  <c r="Q18" i="8" s="1"/>
  <c r="AB18" i="8" s="1"/>
  <c r="Z19" i="8" s="1"/>
  <c r="AW7" i="8"/>
  <c r="O7" i="8" s="1"/>
  <c r="Q7" i="8" s="1"/>
  <c r="AB7" i="8" s="1"/>
  <c r="Z8" i="8" s="1"/>
  <c r="AW19" i="8"/>
  <c r="O19" i="8" s="1"/>
  <c r="Q19" i="8" s="1"/>
  <c r="AB19" i="8" s="1"/>
  <c r="Z20" i="8" s="1"/>
  <c r="AW10" i="8"/>
  <c r="O10" i="8" s="1"/>
  <c r="Q10" i="8" s="1"/>
  <c r="AB10" i="8" s="1"/>
  <c r="Z11" i="8" s="1"/>
  <c r="AW22" i="8"/>
  <c r="O22" i="8" s="1"/>
  <c r="Q22" i="8" s="1"/>
  <c r="AB22" i="8" s="1"/>
  <c r="Z23" i="8" s="1"/>
  <c r="AW11" i="8"/>
  <c r="O11" i="8" s="1"/>
  <c r="Q11" i="8" s="1"/>
  <c r="AB11" i="8" s="1"/>
  <c r="Z12" i="8" s="1"/>
  <c r="AW4" i="8"/>
  <c r="O4" i="8" s="1"/>
  <c r="Q4" i="8" s="1"/>
  <c r="AB4" i="8" s="1"/>
  <c r="AW14" i="8"/>
  <c r="O14" i="8" s="1"/>
  <c r="Q14" i="8" s="1"/>
  <c r="AB14" i="8" s="1"/>
  <c r="Z15" i="8" s="1"/>
  <c r="AJ32" i="8"/>
  <c r="AM31" i="9" l="1"/>
  <c r="AM33" i="9"/>
  <c r="AL28" i="8"/>
  <c r="AK28" i="8"/>
  <c r="AK10" i="8"/>
  <c r="AL10" i="8"/>
  <c r="AM10" i="8" s="1"/>
  <c r="AO10" i="8" s="1"/>
  <c r="AK29" i="8"/>
  <c r="AM29" i="8" s="1"/>
  <c r="AO29" i="8" s="1"/>
  <c r="AL29" i="8"/>
  <c r="AL11" i="8"/>
  <c r="AK11" i="8"/>
  <c r="AL27" i="8"/>
  <c r="AK27" i="8"/>
  <c r="AL8" i="8"/>
  <c r="AK8" i="8"/>
  <c r="AL26" i="8"/>
  <c r="AK26" i="8"/>
  <c r="AM26" i="8" s="1"/>
  <c r="AO26" i="8" s="1"/>
  <c r="AK17" i="8"/>
  <c r="AL17" i="8"/>
  <c r="AK32" i="8"/>
  <c r="AL32" i="8"/>
  <c r="AL30" i="8"/>
  <c r="AK30" i="8"/>
  <c r="AM30" i="8" s="1"/>
  <c r="AO30" i="8" s="1"/>
  <c r="AJ5" i="8"/>
  <c r="AL18" i="8"/>
  <c r="AK18" i="8"/>
  <c r="AK13" i="8"/>
  <c r="AM13" i="8" s="1"/>
  <c r="AO13" i="8" s="1"/>
  <c r="AL13" i="8"/>
  <c r="AI33" i="8"/>
  <c r="AM32" i="8"/>
  <c r="AO32" i="8" s="1"/>
  <c r="AL19" i="8"/>
  <c r="AK19" i="8"/>
  <c r="AM19" i="8" s="1"/>
  <c r="AO19" i="8" s="1"/>
  <c r="AL31" i="8"/>
  <c r="AK31" i="8"/>
  <c r="AM31" i="8" s="1"/>
  <c r="AO31" i="8" s="1"/>
  <c r="AK21" i="8"/>
  <c r="AL21" i="8"/>
  <c r="AB33" i="8"/>
  <c r="Z34" i="8" s="1"/>
  <c r="AM27" i="8"/>
  <c r="AO27" i="8" s="1"/>
  <c r="AL12" i="8"/>
  <c r="AK12" i="8"/>
  <c r="AL23" i="8"/>
  <c r="AK23" i="8"/>
  <c r="AM23" i="8" s="1"/>
  <c r="AO23" i="8" s="1"/>
  <c r="AK9" i="8"/>
  <c r="AM9" i="8" s="1"/>
  <c r="AO9" i="8" s="1"/>
  <c r="AL9" i="8"/>
  <c r="AM17" i="8"/>
  <c r="AO17" i="8" s="1"/>
  <c r="AL22" i="8"/>
  <c r="AK22" i="8"/>
  <c r="AM22" i="8" s="1"/>
  <c r="AO22" i="8" s="1"/>
  <c r="X33" i="8"/>
  <c r="AL15" i="8"/>
  <c r="AK15" i="8"/>
  <c r="AM15" i="8" s="1"/>
  <c r="AO15" i="8" s="1"/>
  <c r="AL7" i="8"/>
  <c r="AK7" i="8"/>
  <c r="AM7" i="8" s="1"/>
  <c r="AO7" i="8" s="1"/>
  <c r="AK25" i="8"/>
  <c r="AL25" i="8"/>
  <c r="AM18" i="8"/>
  <c r="AO18" i="8" s="1"/>
  <c r="AM28" i="8"/>
  <c r="AO28" i="8" s="1"/>
  <c r="AL14" i="8"/>
  <c r="AK14" i="8"/>
  <c r="AM14" i="8" s="1"/>
  <c r="AO14" i="8" s="1"/>
  <c r="AM11" i="8"/>
  <c r="AO11" i="8" s="1"/>
  <c r="AL20" i="8"/>
  <c r="AK20" i="8"/>
  <c r="AM20" i="8" s="1"/>
  <c r="AO20" i="8" s="1"/>
  <c r="AL6" i="8"/>
  <c r="AK6" i="8"/>
  <c r="AM6" i="8" s="1"/>
  <c r="AO6" i="8" s="1"/>
  <c r="Z5" i="8"/>
  <c r="AK4" i="8"/>
  <c r="AL16" i="8"/>
  <c r="AK16" i="8"/>
  <c r="AM16" i="8" s="1"/>
  <c r="AO16" i="8" s="1"/>
  <c r="AL24" i="8"/>
  <c r="AK24" i="8"/>
  <c r="AM24" i="8" s="1"/>
  <c r="AO24" i="8" s="1"/>
  <c r="AM25" i="8"/>
  <c r="AO25" i="8" s="1"/>
  <c r="AM8" i="8"/>
  <c r="AO8" i="8" s="1"/>
  <c r="AM21" i="8"/>
  <c r="AO21" i="8" s="1"/>
  <c r="AM12" i="8"/>
  <c r="AO12" i="8" s="1"/>
  <c r="AM4" i="8" l="1"/>
  <c r="AE33" i="8"/>
  <c r="AC33" i="8"/>
  <c r="U34" i="8"/>
  <c r="AG33" i="8"/>
  <c r="AF33" i="8"/>
  <c r="AK33" i="8"/>
  <c r="AK5" i="8"/>
  <c r="AL5" i="8"/>
  <c r="AM5" i="8" s="1"/>
  <c r="AO5" i="8" s="1"/>
  <c r="V34" i="8" l="1"/>
  <c r="AH34" i="8" s="1"/>
  <c r="W34" i="8"/>
  <c r="AI34" i="8" s="1"/>
  <c r="AA34" i="8"/>
  <c r="AN33" i="8"/>
  <c r="AJ33" i="8"/>
  <c r="AL33" i="8"/>
  <c r="AO4" i="8"/>
  <c r="AM33" i="8" l="1"/>
  <c r="X34" i="8"/>
  <c r="U35" i="8" l="1"/>
  <c r="AG34" i="8"/>
  <c r="AF34" i="8"/>
  <c r="AE34" i="8"/>
  <c r="AC34" i="8"/>
  <c r="AB34" i="8"/>
  <c r="AO33" i="8"/>
  <c r="Z35" i="8" l="1"/>
  <c r="AK34" i="8"/>
  <c r="AA35" i="8"/>
  <c r="AN34" i="8"/>
  <c r="AJ34" i="8"/>
  <c r="AL34" i="8"/>
  <c r="V35" i="8"/>
  <c r="AH35" i="8" s="1"/>
  <c r="W35" i="8"/>
  <c r="AI35" i="8" s="1"/>
  <c r="X35" i="8" l="1"/>
  <c r="AM34" i="8"/>
  <c r="AO34" i="8" l="1"/>
  <c r="U36" i="8"/>
  <c r="AG35" i="8"/>
  <c r="AF35" i="8"/>
  <c r="AE35" i="8"/>
  <c r="AC35" i="8"/>
  <c r="AB35" i="8"/>
  <c r="AJ35" i="8" l="1"/>
  <c r="AL35" i="8"/>
  <c r="V36" i="8"/>
  <c r="AH36" i="8" s="1"/>
  <c r="W36" i="8"/>
  <c r="AI36" i="8" s="1"/>
  <c r="Z36" i="8"/>
  <c r="AK35" i="8"/>
  <c r="AA36" i="8"/>
  <c r="AN35" i="8"/>
  <c r="X36" i="8" l="1"/>
  <c r="AM35" i="8"/>
  <c r="AO35" i="8" l="1"/>
  <c r="AE36" i="8"/>
  <c r="AG36" i="8"/>
  <c r="U37" i="8"/>
  <c r="AF36" i="8"/>
  <c r="AC36" i="8"/>
  <c r="AB36" i="8"/>
  <c r="V37" i="8" l="1"/>
  <c r="AH37" i="8" s="1"/>
  <c r="W37" i="8"/>
  <c r="AI37" i="8" s="1"/>
  <c r="AJ36" i="8"/>
  <c r="AL36" i="8"/>
  <c r="Z37" i="8"/>
  <c r="AK36" i="8"/>
  <c r="AA37" i="8"/>
  <c r="AN36" i="8"/>
  <c r="AM36" i="8" l="1"/>
  <c r="X37" i="8"/>
  <c r="AO36" i="8" l="1"/>
  <c r="U38" i="8"/>
  <c r="AG37" i="8"/>
  <c r="AF37" i="8"/>
  <c r="AE37" i="8"/>
  <c r="AC37" i="8"/>
  <c r="AB37" i="8"/>
  <c r="AJ37" i="8" l="1"/>
  <c r="AL37" i="8"/>
  <c r="V38" i="8"/>
  <c r="AH38" i="8" s="1"/>
  <c r="W38" i="8"/>
  <c r="AI38" i="8" s="1"/>
  <c r="Z38" i="8"/>
  <c r="AK37" i="8"/>
  <c r="AA38" i="8"/>
  <c r="AN37" i="8"/>
  <c r="X38" i="8" l="1"/>
  <c r="AM37" i="8"/>
  <c r="AO37" i="8" s="1"/>
  <c r="U39" i="8" l="1"/>
  <c r="AG38" i="8"/>
  <c r="AC38" i="8"/>
  <c r="AF38" i="8"/>
  <c r="AE38" i="8"/>
  <c r="AB38" i="8"/>
  <c r="Z39" i="8" l="1"/>
  <c r="AK38" i="8"/>
  <c r="AJ38" i="8"/>
  <c r="AL38" i="8"/>
  <c r="AA39" i="8"/>
  <c r="AN38" i="8"/>
  <c r="V39" i="8"/>
  <c r="AH39" i="8" s="1"/>
  <c r="AM38" i="8" l="1"/>
  <c r="AO38" i="8" s="1"/>
  <c r="W39" i="8"/>
  <c r="AI39" i="8" s="1"/>
  <c r="X39" i="8" l="1"/>
  <c r="AG39" i="8" l="1"/>
  <c r="AF39" i="8"/>
  <c r="U40" i="8"/>
  <c r="AE39" i="8"/>
  <c r="AC39" i="8"/>
  <c r="AB39" i="8"/>
  <c r="Z40" i="8" l="1"/>
  <c r="AK39" i="8"/>
  <c r="AA40" i="8"/>
  <c r="AN39" i="8"/>
  <c r="AJ39" i="8"/>
  <c r="AL39" i="8"/>
  <c r="V40" i="8"/>
  <c r="AH40" i="8" s="1"/>
  <c r="AM39" i="8" l="1"/>
  <c r="AO39" i="8" s="1"/>
  <c r="W40" i="8"/>
  <c r="AI40" i="8" s="1"/>
  <c r="X40" i="8" l="1"/>
  <c r="U41" i="8" l="1"/>
  <c r="AG40" i="8"/>
  <c r="AF40" i="8"/>
  <c r="AE40" i="8"/>
  <c r="AC40" i="8"/>
  <c r="AB40" i="8"/>
  <c r="Z41" i="8" l="1"/>
  <c r="AK40" i="8"/>
  <c r="AA41" i="8"/>
  <c r="AN40" i="8"/>
  <c r="AJ40" i="8"/>
  <c r="AL40" i="8"/>
  <c r="V41" i="8"/>
  <c r="AH41" i="8" s="1"/>
  <c r="AM40" i="8" l="1"/>
  <c r="AO40" i="8" s="1"/>
  <c r="W41" i="8"/>
  <c r="AI41" i="8" s="1"/>
  <c r="X41" i="8" l="1"/>
  <c r="AE41" i="8" l="1"/>
  <c r="AC41" i="8"/>
  <c r="U42" i="8"/>
  <c r="AG41" i="8"/>
  <c r="AF41" i="8"/>
  <c r="AB41" i="8"/>
  <c r="Z42" i="8" l="1"/>
  <c r="AK41" i="8"/>
  <c r="V42" i="8"/>
  <c r="AH42" i="8" s="1"/>
  <c r="W42" i="8"/>
  <c r="AI42" i="8" s="1"/>
  <c r="AA42" i="8"/>
  <c r="AN41" i="8"/>
  <c r="AJ41" i="8"/>
  <c r="AM41" i="8" s="1"/>
  <c r="AO41" i="8" s="1"/>
  <c r="AL41" i="8"/>
  <c r="X42" i="8" l="1"/>
  <c r="AE42" i="8" l="1"/>
  <c r="AG42" i="8"/>
  <c r="AF42" i="8"/>
  <c r="U43" i="8"/>
  <c r="AC42" i="8"/>
  <c r="AB42" i="8"/>
  <c r="Z43" i="8" l="1"/>
  <c r="AK42" i="8"/>
  <c r="AA43" i="8"/>
  <c r="AN42" i="8"/>
  <c r="V43" i="8"/>
  <c r="AH43" i="8" s="1"/>
  <c r="AJ42" i="8"/>
  <c r="AM42" i="8" s="1"/>
  <c r="AO42" i="8" s="1"/>
  <c r="AL42" i="8"/>
  <c r="W43" i="8" l="1"/>
  <c r="AI43" i="8" s="1"/>
  <c r="X43" i="8"/>
  <c r="AE43" i="8" l="1"/>
  <c r="AG43" i="8"/>
  <c r="AF43" i="8"/>
  <c r="U44" i="8"/>
  <c r="AC43" i="8"/>
  <c r="AB43" i="8"/>
  <c r="Z44" i="8" l="1"/>
  <c r="AK43" i="8"/>
  <c r="AA44" i="8"/>
  <c r="AN43" i="8"/>
  <c r="V44" i="8"/>
  <c r="AH44" i="8" s="1"/>
  <c r="W44" i="8"/>
  <c r="AI44" i="8" s="1"/>
  <c r="AJ43" i="8"/>
  <c r="AM43" i="8" s="1"/>
  <c r="AO43" i="8" s="1"/>
  <c r="AL43" i="8"/>
  <c r="X44" i="8" l="1"/>
  <c r="U45" i="8" l="1"/>
  <c r="AG44" i="8"/>
  <c r="AF44" i="8"/>
  <c r="AE44" i="8"/>
  <c r="AC44" i="8"/>
  <c r="AB44" i="8"/>
  <c r="Z45" i="8" l="1"/>
  <c r="AK44" i="8"/>
  <c r="AA45" i="8"/>
  <c r="AN44" i="8"/>
  <c r="AJ44" i="8"/>
  <c r="AL44" i="8"/>
  <c r="V45" i="8"/>
  <c r="AH45" i="8" s="1"/>
  <c r="AM44" i="8" l="1"/>
  <c r="AO44" i="8" s="1"/>
  <c r="W45" i="8"/>
  <c r="AI45" i="8" l="1"/>
  <c r="X45" i="8"/>
  <c r="AF45" i="8" l="1"/>
  <c r="AE45" i="8"/>
  <c r="U46" i="8"/>
  <c r="AG45" i="8"/>
  <c r="AC45" i="8"/>
  <c r="AB45" i="8"/>
  <c r="Z46" i="8" l="1"/>
  <c r="AK45" i="8"/>
  <c r="AA46" i="8"/>
  <c r="AN45" i="8"/>
  <c r="V46" i="8"/>
  <c r="AH46" i="8" s="1"/>
  <c r="W46" i="8"/>
  <c r="AI46" i="8" s="1"/>
  <c r="AJ45" i="8"/>
  <c r="AM45" i="8" s="1"/>
  <c r="AO45" i="8" s="1"/>
  <c r="AL45" i="8"/>
  <c r="X46" i="8" l="1"/>
  <c r="AF46" i="8" l="1"/>
  <c r="U47" i="8"/>
  <c r="AG46" i="8"/>
  <c r="AE46" i="8"/>
  <c r="AC46" i="8"/>
  <c r="AB46" i="8"/>
  <c r="Z47" i="8" l="1"/>
  <c r="AK46" i="8"/>
  <c r="AA47" i="8"/>
  <c r="AN46" i="8"/>
  <c r="AJ46" i="8"/>
  <c r="AL46" i="8"/>
  <c r="V47" i="8"/>
  <c r="AH47" i="8" s="1"/>
  <c r="AM46" i="8" l="1"/>
  <c r="AO46" i="8" s="1"/>
  <c r="W47" i="8"/>
  <c r="AI47" i="8" l="1"/>
  <c r="X47" i="8"/>
  <c r="U48" i="8" l="1"/>
  <c r="AG47" i="8"/>
  <c r="AF47" i="8"/>
  <c r="AE47" i="8"/>
  <c r="AC47" i="8"/>
  <c r="AB47" i="8"/>
  <c r="Z48" i="8" l="1"/>
  <c r="AK47" i="8"/>
  <c r="AA48" i="8"/>
  <c r="AN47" i="8"/>
  <c r="AJ47" i="8"/>
  <c r="AL47" i="8"/>
  <c r="V48" i="8"/>
  <c r="AH48" i="8" s="1"/>
  <c r="AM47" i="8" l="1"/>
  <c r="AO47" i="8" s="1"/>
  <c r="W48" i="8"/>
  <c r="AI48" i="8" s="1"/>
  <c r="X48" i="8" l="1"/>
  <c r="U49" i="8" l="1"/>
  <c r="AG48" i="8"/>
  <c r="AF48" i="8"/>
  <c r="AE48" i="8"/>
  <c r="AC48" i="8"/>
  <c r="AB48" i="8"/>
  <c r="Z49" i="8" l="1"/>
  <c r="AK48" i="8"/>
  <c r="AA49" i="8"/>
  <c r="AN48" i="8"/>
  <c r="AJ48" i="8"/>
  <c r="AL48" i="8"/>
  <c r="V49" i="8"/>
  <c r="AH49" i="8" s="1"/>
  <c r="AM48" i="8" l="1"/>
  <c r="AO48" i="8" s="1"/>
  <c r="W49" i="8"/>
  <c r="AI49" i="8" l="1"/>
  <c r="X49" i="8"/>
  <c r="AF49" i="8" l="1"/>
  <c r="AE49" i="8"/>
  <c r="AG49" i="8"/>
  <c r="AC49" i="8"/>
  <c r="U50" i="8"/>
  <c r="AB49" i="8"/>
  <c r="Z50" i="8" l="1"/>
  <c r="AK49" i="8"/>
  <c r="V50" i="8"/>
  <c r="AH50" i="8" s="1"/>
  <c r="W50" i="8"/>
  <c r="AI50" i="8" s="1"/>
  <c r="AA50" i="8"/>
  <c r="AN49" i="8"/>
  <c r="AJ49" i="8"/>
  <c r="AM49" i="8" s="1"/>
  <c r="AO49" i="8" s="1"/>
  <c r="AL49" i="8"/>
  <c r="X50" i="8" l="1"/>
  <c r="AF50" i="8" l="1"/>
  <c r="AG50" i="8"/>
  <c r="AE50" i="8"/>
  <c r="U51" i="8"/>
  <c r="AC50" i="8"/>
  <c r="AB50" i="8"/>
  <c r="Z51" i="8" l="1"/>
  <c r="AK50" i="8"/>
  <c r="AA51" i="8"/>
  <c r="AN50" i="8"/>
  <c r="V51" i="8"/>
  <c r="AH51" i="8" s="1"/>
  <c r="AJ50" i="8"/>
  <c r="AM50" i="8" s="1"/>
  <c r="AO50" i="8" s="1"/>
  <c r="AL50" i="8"/>
  <c r="W51" i="8" l="1"/>
  <c r="AI51" i="8" s="1"/>
  <c r="X51" i="8"/>
  <c r="AE51" i="8" l="1"/>
  <c r="AG51" i="8"/>
  <c r="AF51" i="8"/>
  <c r="U52" i="8"/>
  <c r="AC51" i="8"/>
  <c r="AB51" i="8"/>
  <c r="Z52" i="8" l="1"/>
  <c r="AK51" i="8"/>
  <c r="AA52" i="8"/>
  <c r="AN51" i="8"/>
  <c r="V52" i="8"/>
  <c r="AH52" i="8" s="1"/>
  <c r="AJ51" i="8"/>
  <c r="AM51" i="8" s="1"/>
  <c r="AO51" i="8" s="1"/>
  <c r="AL51" i="8"/>
  <c r="W52" i="8" l="1"/>
  <c r="AI52" i="8" s="1"/>
  <c r="X52" i="8"/>
  <c r="U53" i="8" l="1"/>
  <c r="AG52" i="8"/>
  <c r="AF52" i="8"/>
  <c r="AE52" i="8"/>
  <c r="AC52" i="8"/>
  <c r="AB52" i="8"/>
  <c r="Z53" i="8" l="1"/>
  <c r="AK52" i="8"/>
  <c r="AA53" i="8"/>
  <c r="AN52" i="8"/>
  <c r="AJ52" i="8"/>
  <c r="AL52" i="8"/>
  <c r="V53" i="8"/>
  <c r="AH53" i="8" s="1"/>
  <c r="AM52" i="8" l="1"/>
  <c r="AO52" i="8" s="1"/>
  <c r="W53" i="8"/>
  <c r="AI53" i="8" l="1"/>
  <c r="X53" i="8"/>
  <c r="AF53" i="8" l="1"/>
  <c r="AE53" i="8"/>
  <c r="U54" i="8"/>
  <c r="AG53" i="8"/>
  <c r="AC53" i="8"/>
  <c r="AB53" i="8"/>
  <c r="Z54" i="8" l="1"/>
  <c r="AK53" i="8"/>
  <c r="AA54" i="8"/>
  <c r="AN53" i="8"/>
  <c r="V54" i="8"/>
  <c r="AH54" i="8" s="1"/>
  <c r="W54" i="8"/>
  <c r="AI54" i="8" s="1"/>
  <c r="AJ53" i="8"/>
  <c r="AM53" i="8" s="1"/>
  <c r="AO53" i="8" s="1"/>
  <c r="AL53" i="8"/>
  <c r="X54" i="8" l="1"/>
  <c r="U55" i="8" l="1"/>
  <c r="AG54" i="8"/>
  <c r="AE54" i="8"/>
  <c r="AF54" i="8"/>
  <c r="AC54" i="8"/>
  <c r="AB54" i="8"/>
  <c r="Z55" i="8" l="1"/>
  <c r="AK54" i="8"/>
  <c r="AA55" i="8"/>
  <c r="AN54" i="8"/>
  <c r="AJ54" i="8"/>
  <c r="AL54" i="8"/>
  <c r="V55" i="8"/>
  <c r="AH55" i="8" s="1"/>
  <c r="AM54" i="8" l="1"/>
  <c r="AO54" i="8" s="1"/>
  <c r="W55" i="8"/>
  <c r="AI55" i="8" l="1"/>
  <c r="X55" i="8"/>
  <c r="U56" i="8" l="1"/>
  <c r="AG55" i="8"/>
  <c r="AE55" i="8"/>
  <c r="AC55" i="8"/>
  <c r="AF55" i="8"/>
  <c r="AB55" i="8"/>
  <c r="Z56" i="8" l="1"/>
  <c r="AK55" i="8"/>
  <c r="AA56" i="8"/>
  <c r="AN55" i="8"/>
  <c r="AJ55" i="8"/>
  <c r="AL55" i="8"/>
  <c r="V56" i="8"/>
  <c r="AH56" i="8" s="1"/>
  <c r="AM55" i="8" l="1"/>
  <c r="AO55" i="8" s="1"/>
  <c r="W56" i="8"/>
  <c r="AI56" i="8" s="1"/>
  <c r="X56" i="8" l="1"/>
  <c r="AE56" i="8" l="1"/>
  <c r="AF56" i="8"/>
  <c r="AG56" i="8"/>
  <c r="U57" i="8"/>
  <c r="AC56" i="8"/>
  <c r="AB56" i="8"/>
  <c r="AA57" i="8" l="1"/>
  <c r="AN56" i="8"/>
  <c r="Z57" i="8"/>
  <c r="AK56" i="8"/>
  <c r="V57" i="8"/>
  <c r="AH57" i="8" s="1"/>
  <c r="W57" i="8"/>
  <c r="AI57" i="8" s="1"/>
  <c r="AJ56" i="8"/>
  <c r="AM56" i="8" s="1"/>
  <c r="AO56" i="8" s="1"/>
  <c r="AL56" i="8"/>
  <c r="X57" i="8" l="1"/>
  <c r="AC57" i="8" l="1"/>
  <c r="AE57" i="8"/>
  <c r="AG57" i="8"/>
  <c r="AF57" i="8"/>
  <c r="U58" i="8"/>
  <c r="AB57" i="8"/>
  <c r="Z58" i="8" l="1"/>
  <c r="AK57" i="8"/>
  <c r="V58" i="8"/>
  <c r="AH58" i="8" s="1"/>
  <c r="W58" i="8"/>
  <c r="AI58" i="8" s="1"/>
  <c r="AJ57" i="8"/>
  <c r="AL57" i="8"/>
  <c r="AA58" i="8"/>
  <c r="AN57" i="8"/>
  <c r="AM57" i="8" l="1"/>
  <c r="AO57" i="8" s="1"/>
  <c r="X58" i="8"/>
  <c r="U59" i="8" l="1"/>
  <c r="AG58" i="8"/>
  <c r="AE58" i="8"/>
  <c r="AC58" i="8"/>
  <c r="AF58" i="8"/>
  <c r="AB58" i="8"/>
  <c r="Z59" i="8" l="1"/>
  <c r="AK58" i="8"/>
  <c r="AA59" i="8"/>
  <c r="AN58" i="8"/>
  <c r="AJ58" i="8"/>
  <c r="AL58" i="8"/>
  <c r="V59" i="8"/>
  <c r="AH59" i="8" s="1"/>
  <c r="AM58" i="8" l="1"/>
  <c r="AO58" i="8" s="1"/>
  <c r="W59" i="8"/>
  <c r="AI59" i="8" l="1"/>
  <c r="X59" i="8"/>
  <c r="AG59" i="8" l="1"/>
  <c r="AF59" i="8"/>
  <c r="U60" i="8"/>
  <c r="AE59" i="8"/>
  <c r="AC59" i="8"/>
  <c r="AB59" i="8"/>
  <c r="Z60" i="8" l="1"/>
  <c r="AK59" i="8"/>
  <c r="AA60" i="8"/>
  <c r="AN59" i="8"/>
  <c r="AJ59" i="8"/>
  <c r="AL59" i="8"/>
  <c r="V60" i="8"/>
  <c r="AH60" i="8" s="1"/>
  <c r="AM59" i="8" l="1"/>
  <c r="AO59" i="8" s="1"/>
  <c r="W60" i="8"/>
  <c r="AI60" i="8" l="1"/>
  <c r="X60" i="8"/>
  <c r="AG60" i="8" l="1"/>
  <c r="AF60" i="8"/>
  <c r="U61" i="8"/>
  <c r="AE60" i="8"/>
  <c r="AC60" i="8"/>
  <c r="AB60" i="8"/>
  <c r="Z61" i="8" l="1"/>
  <c r="AK60" i="8"/>
  <c r="AA61" i="8"/>
  <c r="AN60" i="8"/>
  <c r="AJ60" i="8"/>
  <c r="AL60" i="8"/>
  <c r="V61" i="8"/>
  <c r="AH61" i="8" s="1"/>
  <c r="AM60" i="8" l="1"/>
  <c r="AO60" i="8" s="1"/>
  <c r="W61" i="8"/>
  <c r="AI61" i="8" s="1"/>
  <c r="X61" i="8" l="1"/>
  <c r="U62" i="8" l="1"/>
  <c r="AG61" i="8"/>
  <c r="AF61" i="8"/>
  <c r="AE61" i="8"/>
  <c r="AC61" i="8"/>
  <c r="AB61" i="8"/>
  <c r="Z62" i="8" l="1"/>
  <c r="AK61" i="8"/>
  <c r="AA62" i="8"/>
  <c r="AN61" i="8"/>
  <c r="AJ61" i="8"/>
  <c r="AL61" i="8"/>
  <c r="V62" i="8"/>
  <c r="AH62" i="8" s="1"/>
  <c r="AM61" i="8" l="1"/>
  <c r="AO61" i="8" s="1"/>
  <c r="W62" i="8"/>
  <c r="AI62" i="8" l="1"/>
  <c r="X62" i="8"/>
  <c r="U63" i="8" l="1"/>
  <c r="AG62" i="8"/>
  <c r="AC62" i="8"/>
  <c r="AF62" i="8"/>
  <c r="AE62" i="8"/>
  <c r="AB62" i="8"/>
  <c r="Z63" i="8" l="1"/>
  <c r="AK62" i="8"/>
  <c r="AJ62" i="8"/>
  <c r="AL62" i="8"/>
  <c r="AA63" i="8"/>
  <c r="AN62" i="8"/>
  <c r="V63" i="8"/>
  <c r="AH63" i="8" s="1"/>
  <c r="W63" i="8"/>
  <c r="AI63" i="8" s="1"/>
  <c r="AM62" i="8" l="1"/>
  <c r="AO62" i="8" s="1"/>
  <c r="X63" i="8"/>
  <c r="AE63" i="8" l="1"/>
  <c r="AG63" i="8"/>
  <c r="AF63" i="8"/>
  <c r="U64" i="8"/>
  <c r="AC63" i="8"/>
  <c r="AB63" i="8"/>
  <c r="Z64" i="8" l="1"/>
  <c r="AK63" i="8"/>
  <c r="AA64" i="8"/>
  <c r="AN63" i="8"/>
  <c r="V64" i="8"/>
  <c r="AH64" i="8" s="1"/>
  <c r="W64" i="8"/>
  <c r="AI64" i="8" s="1"/>
  <c r="X64" i="8"/>
  <c r="AJ63" i="8"/>
  <c r="AM63" i="8" s="1"/>
  <c r="AO63" i="8" s="1"/>
  <c r="AL63" i="8"/>
  <c r="AE64" i="8" l="1"/>
  <c r="AF64" i="8"/>
  <c r="AL64" i="8" s="1"/>
  <c r="U65" i="8"/>
  <c r="AG64" i="8"/>
  <c r="AC64" i="8"/>
  <c r="AA65" i="8" s="1"/>
  <c r="AB64" i="8"/>
  <c r="Z65" i="8" s="1"/>
  <c r="AN64" i="8"/>
  <c r="AK64" i="8"/>
  <c r="V65" i="8" l="1"/>
  <c r="AH65" i="8" s="1"/>
  <c r="W65" i="8"/>
  <c r="AI65" i="8" s="1"/>
  <c r="AJ64" i="8"/>
  <c r="AM64" i="8" s="1"/>
  <c r="AO64" i="8" s="1"/>
  <c r="X65" i="8" l="1"/>
  <c r="U66" i="8" l="1"/>
  <c r="AC65" i="8"/>
  <c r="AE65" i="8"/>
  <c r="AG65" i="8"/>
  <c r="AF65" i="8"/>
  <c r="AB65" i="8"/>
  <c r="Z66" i="8" l="1"/>
  <c r="AK65" i="8"/>
  <c r="AJ65" i="8"/>
  <c r="AM65" i="8" s="1"/>
  <c r="AL65" i="8"/>
  <c r="AA66" i="8"/>
  <c r="AN65" i="8"/>
  <c r="V66" i="8"/>
  <c r="AH66" i="8" s="1"/>
  <c r="AO65" i="8" l="1"/>
  <c r="W66" i="8"/>
  <c r="AI66" i="8" l="1"/>
  <c r="X66" i="8"/>
  <c r="U67" i="8" l="1"/>
  <c r="AG66" i="8"/>
  <c r="AF66" i="8"/>
  <c r="AE66" i="8"/>
  <c r="AC66" i="8"/>
  <c r="AB66" i="8"/>
  <c r="Z67" i="8" l="1"/>
  <c r="AK66" i="8"/>
  <c r="AA67" i="8"/>
  <c r="AN66" i="8"/>
  <c r="AJ66" i="8"/>
  <c r="AL66" i="8"/>
  <c r="W67" i="8"/>
  <c r="AI67" i="8" s="1"/>
  <c r="V67" i="8"/>
  <c r="AH67" i="8" s="1"/>
  <c r="X67" i="8" l="1"/>
  <c r="AM66" i="8"/>
  <c r="AO66" i="8" s="1"/>
  <c r="AE67" i="8" l="1"/>
  <c r="AF67" i="8"/>
  <c r="AG67" i="8"/>
  <c r="U68" i="8"/>
  <c r="AC67" i="8"/>
  <c r="AB67" i="8"/>
  <c r="V68" i="8" l="1"/>
  <c r="AH68" i="8" s="1"/>
  <c r="W68" i="8"/>
  <c r="AI68" i="8" s="1"/>
  <c r="Z68" i="8"/>
  <c r="AK67" i="8"/>
  <c r="AA68" i="8"/>
  <c r="AN67" i="8"/>
  <c r="AJ67" i="8"/>
  <c r="AM67" i="8" s="1"/>
  <c r="AO67" i="8" s="1"/>
  <c r="AL67" i="8"/>
  <c r="X68" i="8" l="1"/>
  <c r="U69" i="8" l="1"/>
  <c r="AC68" i="8"/>
  <c r="AG68" i="8"/>
  <c r="AF68" i="8"/>
  <c r="AE68" i="8"/>
  <c r="AB68" i="8"/>
  <c r="Z69" i="8" l="1"/>
  <c r="AK68" i="8"/>
  <c r="AJ68" i="8"/>
  <c r="AL68" i="8"/>
  <c r="AA69" i="8"/>
  <c r="AN68" i="8"/>
  <c r="V69" i="8"/>
  <c r="AH69" i="8" s="1"/>
  <c r="AM68" i="8" l="1"/>
  <c r="AO68" i="8" s="1"/>
  <c r="W69" i="8"/>
  <c r="AI69" i="8" s="1"/>
  <c r="X69" i="8" l="1"/>
  <c r="AG69" i="8" l="1"/>
  <c r="AF69" i="8"/>
  <c r="AE69" i="8"/>
  <c r="U70" i="8"/>
  <c r="AC69" i="8"/>
  <c r="AB69" i="8"/>
  <c r="Z70" i="8" l="1"/>
  <c r="AK69" i="8"/>
  <c r="AA70" i="8"/>
  <c r="AN69" i="8"/>
  <c r="V70" i="8"/>
  <c r="AH70" i="8" s="1"/>
  <c r="W70" i="8"/>
  <c r="AI70" i="8" s="1"/>
  <c r="AJ69" i="8"/>
  <c r="AM69" i="8" s="1"/>
  <c r="AO69" i="8" s="1"/>
  <c r="AL69" i="8"/>
  <c r="X70" i="8" l="1"/>
  <c r="U71" i="8" l="1"/>
  <c r="AG70" i="8"/>
  <c r="AF70" i="8"/>
  <c r="AE70" i="8"/>
  <c r="AC70" i="8"/>
  <c r="AB70" i="8"/>
  <c r="Z71" i="8" l="1"/>
  <c r="AK70" i="8"/>
  <c r="AA71" i="8"/>
  <c r="AN70" i="8"/>
  <c r="AJ70" i="8"/>
  <c r="AL70" i="8"/>
  <c r="W71" i="8"/>
  <c r="AI71" i="8" s="1"/>
  <c r="V71" i="8"/>
  <c r="AH71" i="8" s="1"/>
  <c r="X71" i="8" l="1"/>
  <c r="AM70" i="8"/>
  <c r="AO70" i="8" s="1"/>
  <c r="AE71" i="8" l="1"/>
  <c r="U72" i="8"/>
  <c r="AG71" i="8"/>
  <c r="AF71" i="8"/>
  <c r="AC71" i="8"/>
  <c r="AB71" i="8"/>
  <c r="Z72" i="8" l="1"/>
  <c r="AK71" i="8"/>
  <c r="AA72" i="8"/>
  <c r="AN71" i="8"/>
  <c r="V72" i="8"/>
  <c r="AH72" i="8" s="1"/>
  <c r="W72" i="8"/>
  <c r="AI72" i="8" s="1"/>
  <c r="AJ71" i="8"/>
  <c r="AM71" i="8" s="1"/>
  <c r="AO71" i="8" s="1"/>
  <c r="AL71" i="8"/>
  <c r="X72" i="8" l="1"/>
  <c r="U73" i="8" l="1"/>
  <c r="AG72" i="8"/>
  <c r="AF72" i="8"/>
  <c r="AE72" i="8"/>
  <c r="AC72" i="8"/>
  <c r="AB72" i="8"/>
  <c r="Z73" i="8" l="1"/>
  <c r="AK72" i="8"/>
  <c r="AA73" i="8"/>
  <c r="AN72" i="8"/>
  <c r="AJ72" i="8"/>
  <c r="AL72" i="8"/>
  <c r="V73" i="8"/>
  <c r="AH73" i="8" s="1"/>
  <c r="AM72" i="8" l="1"/>
  <c r="AO72" i="8" s="1"/>
  <c r="W73" i="8"/>
  <c r="AI73" i="8" s="1"/>
  <c r="X73" i="8" l="1"/>
  <c r="U74" i="8" l="1"/>
  <c r="AG73" i="8"/>
  <c r="AF73" i="8"/>
  <c r="AC73" i="8"/>
  <c r="AE73" i="8"/>
  <c r="AB73" i="8"/>
  <c r="Z74" i="8" l="1"/>
  <c r="AK73" i="8"/>
  <c r="AJ73" i="8"/>
  <c r="AL73" i="8"/>
  <c r="AA74" i="8"/>
  <c r="AN73" i="8"/>
  <c r="V74" i="8"/>
  <c r="AH74" i="8" s="1"/>
  <c r="AM73" i="8" l="1"/>
  <c r="AO73" i="8" s="1"/>
  <c r="W74" i="8"/>
  <c r="AI74" i="8" l="1"/>
  <c r="X74" i="8"/>
  <c r="U75" i="8" l="1"/>
  <c r="AG74" i="8"/>
  <c r="AF74" i="8"/>
  <c r="AE74" i="8"/>
  <c r="AC74" i="8"/>
  <c r="AB74" i="8"/>
  <c r="Z75" i="8" l="1"/>
  <c r="AK74" i="8"/>
  <c r="AA75" i="8"/>
  <c r="AN74" i="8"/>
  <c r="AJ74" i="8"/>
  <c r="AL74" i="8"/>
  <c r="W75" i="8"/>
  <c r="AI75" i="8" s="1"/>
  <c r="V75" i="8"/>
  <c r="AH75" i="8" s="1"/>
  <c r="X75" i="8" l="1"/>
  <c r="AM74" i="8"/>
  <c r="AO74" i="8" s="1"/>
  <c r="AE75" i="8" l="1"/>
  <c r="AF75" i="8"/>
  <c r="AG75" i="8"/>
  <c r="U76" i="8"/>
  <c r="AC75" i="8"/>
  <c r="AB75" i="8"/>
  <c r="Z76" i="8" l="1"/>
  <c r="AK75" i="8"/>
  <c r="AA76" i="8"/>
  <c r="AN75" i="8"/>
  <c r="V76" i="8"/>
  <c r="AH76" i="8" s="1"/>
  <c r="AJ75" i="8"/>
  <c r="AM75" i="8" s="1"/>
  <c r="AO75" i="8" s="1"/>
  <c r="AL75" i="8"/>
  <c r="W76" i="8" l="1"/>
  <c r="AI76" i="8" s="1"/>
  <c r="X76" i="8"/>
  <c r="AE76" i="8" l="1"/>
  <c r="AF76" i="8"/>
  <c r="U77" i="8"/>
  <c r="AG76" i="8"/>
  <c r="AC76" i="8"/>
  <c r="AB76" i="8"/>
  <c r="Z77" i="8" l="1"/>
  <c r="AK76" i="8"/>
  <c r="AA77" i="8"/>
  <c r="AN76" i="8"/>
  <c r="V77" i="8"/>
  <c r="AH77" i="8" s="1"/>
  <c r="W77" i="8"/>
  <c r="AI77" i="8" s="1"/>
  <c r="AJ76" i="8"/>
  <c r="AM76" i="8" s="1"/>
  <c r="AO76" i="8" s="1"/>
  <c r="AL76" i="8"/>
  <c r="X77" i="8" l="1"/>
  <c r="U78" i="8" l="1"/>
  <c r="AG77" i="8"/>
  <c r="AF77" i="8"/>
  <c r="AE77" i="8"/>
  <c r="AC77" i="8"/>
  <c r="AB77" i="8"/>
  <c r="Z78" i="8" l="1"/>
  <c r="AK77" i="8"/>
  <c r="AA78" i="8"/>
  <c r="AN77" i="8"/>
  <c r="AJ77" i="8"/>
  <c r="AL77" i="8"/>
  <c r="V78" i="8"/>
  <c r="AH78" i="8" s="1"/>
  <c r="AM77" i="8" l="1"/>
  <c r="AO77" i="8" s="1"/>
  <c r="W78" i="8"/>
  <c r="AI78" i="8" l="1"/>
  <c r="X78" i="8"/>
  <c r="U79" i="8" l="1"/>
  <c r="AG78" i="8"/>
  <c r="AF78" i="8"/>
  <c r="AE78" i="8"/>
  <c r="AC78" i="8"/>
  <c r="AB78" i="8"/>
  <c r="Z79" i="8" l="1"/>
  <c r="AK78" i="8"/>
  <c r="AA79" i="8"/>
  <c r="AN78" i="8"/>
  <c r="AJ78" i="8"/>
  <c r="AL78" i="8"/>
  <c r="V79" i="8"/>
  <c r="AH79" i="8" s="1"/>
  <c r="W79" i="8"/>
  <c r="AI79" i="8" s="1"/>
  <c r="AH85" i="8" l="1"/>
  <c r="AH83" i="8"/>
  <c r="AH81" i="8"/>
  <c r="AM78" i="8"/>
  <c r="AO78" i="8" s="1"/>
  <c r="AI83" i="8"/>
  <c r="AI85" i="8"/>
  <c r="AI81" i="8"/>
  <c r="X79" i="8"/>
  <c r="AE79" i="8" l="1"/>
  <c r="AG79" i="8"/>
  <c r="AF79" i="8"/>
  <c r="AC79" i="8"/>
  <c r="AN79" i="8" s="1"/>
  <c r="AB79" i="8"/>
  <c r="AK79" i="8" s="1"/>
  <c r="AK83" i="8" l="1"/>
  <c r="AK81" i="8"/>
  <c r="AK85" i="8"/>
  <c r="AN85" i="8"/>
  <c r="AN83" i="8"/>
  <c r="AN81" i="8"/>
  <c r="AF81" i="8"/>
  <c r="AF83" i="8"/>
  <c r="AF85" i="8"/>
  <c r="AG81" i="8"/>
  <c r="AG85" i="8"/>
  <c r="AG83" i="8"/>
  <c r="AJ79" i="8"/>
  <c r="AE83" i="8"/>
  <c r="AE81" i="8"/>
  <c r="AE85" i="8"/>
  <c r="AL79" i="8"/>
  <c r="AM79" i="8" l="1"/>
  <c r="AJ81" i="8"/>
  <c r="AJ85" i="8"/>
  <c r="AJ83" i="8"/>
  <c r="AL83" i="8"/>
  <c r="AL85" i="8"/>
  <c r="AL81" i="8"/>
  <c r="AO79" i="8" l="1"/>
  <c r="AM85" i="8"/>
  <c r="AQ4" i="8" s="1"/>
  <c r="AM83" i="8"/>
  <c r="AM81" i="8"/>
  <c r="AO83" i="8" l="1"/>
  <c r="AO85" i="8"/>
  <c r="AQ6" i="8" s="1"/>
  <c r="AO81"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Anoushay</author>
    <author>Microsoft Office User</author>
  </authors>
  <commentList>
    <comment ref="D4" authorId="0" shapeId="0" xr:uid="{002D96D9-ACAA-FF4B-8B00-A81F8C479733}">
      <text>
        <r>
          <rPr>
            <b/>
            <sz val="9"/>
            <color indexed="81"/>
            <rFont val="Tahoma"/>
            <family val="2"/>
          </rPr>
          <t>Anoushay:</t>
        </r>
        <r>
          <rPr>
            <sz val="9"/>
            <color indexed="81"/>
            <rFont val="Tahoma"/>
            <family val="2"/>
          </rPr>
          <t xml:space="preserve">
drop down</t>
        </r>
      </text>
    </comment>
    <comment ref="T9" authorId="1" shapeId="0" xr:uid="{4128252C-847B-9D4A-9374-5F96FC8A766E}">
      <text>
        <r>
          <rPr>
            <b/>
            <sz val="10"/>
            <color rgb="FF000000"/>
            <rFont val="Tahoma"/>
            <family val="2"/>
          </rPr>
          <t>Microsoft Office User:</t>
        </r>
        <r>
          <rPr>
            <sz val="10"/>
            <color rgb="FF000000"/>
            <rFont val="Tahoma"/>
            <family val="2"/>
          </rPr>
          <t xml:space="preserve">
</t>
        </r>
        <r>
          <rPr>
            <sz val="10"/>
            <color rgb="FF000000"/>
            <rFont val="Tahoma"/>
            <family val="2"/>
          </rPr>
          <t xml:space="preserve">Taken from Inforce_SOP Sheet
</t>
        </r>
      </text>
    </comment>
    <comment ref="W9" authorId="1" shapeId="0" xr:uid="{B26F22E7-1FC9-AC48-9CC7-3D345B0BAF0D}">
      <text>
        <r>
          <rPr>
            <b/>
            <sz val="10"/>
            <color rgb="FF000000"/>
            <rFont val="Tahoma"/>
            <family val="2"/>
          </rPr>
          <t>Microsoft Office User:</t>
        </r>
        <r>
          <rPr>
            <sz val="10"/>
            <color rgb="FF000000"/>
            <rFont val="Tahoma"/>
            <family val="2"/>
          </rPr>
          <t xml:space="preserve">
</t>
        </r>
        <r>
          <rPr>
            <sz val="10"/>
            <color rgb="FF000000"/>
            <rFont val="Tahoma"/>
            <family val="2"/>
          </rPr>
          <t xml:space="preserve">Taken from Inforce_SOP Sheet
</t>
        </r>
      </text>
    </comment>
    <comment ref="D15" authorId="1" shapeId="0" xr:uid="{7B097754-B55F-624F-80CA-A9BF4D3466AC}">
      <text>
        <r>
          <rPr>
            <b/>
            <sz val="10"/>
            <color rgb="FF000000"/>
            <rFont val="Tahoma"/>
            <family val="2"/>
          </rPr>
          <t>Microsoft Office User:</t>
        </r>
        <r>
          <rPr>
            <sz val="10"/>
            <color rgb="FF000000"/>
            <rFont val="Tahoma"/>
            <family val="2"/>
          </rPr>
          <t xml:space="preserve">
</t>
        </r>
        <r>
          <rPr>
            <sz val="10"/>
            <color rgb="FF000000"/>
            <rFont val="Tahoma"/>
            <family val="2"/>
          </rPr>
          <t>https://www.legislation.gov.au/F2023L00673/asmade/text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Anoushay</author>
  </authors>
  <commentList>
    <comment ref="R3" authorId="0" shapeId="0" xr:uid="{B40F55B7-F520-9743-8060-52CD8A3FEEA4}">
      <text>
        <r>
          <rPr>
            <b/>
            <sz val="9"/>
            <color rgb="FF000000"/>
            <rFont val="Tahoma"/>
            <family val="2"/>
          </rPr>
          <t>Anoushay:</t>
        </r>
        <r>
          <rPr>
            <sz val="9"/>
            <color rgb="FF000000"/>
            <rFont val="Tahoma"/>
            <family val="2"/>
          </rPr>
          <t xml:space="preserve">
</t>
        </r>
        <r>
          <rPr>
            <sz val="9"/>
            <color rgb="FF000000"/>
            <rFont val="Tahoma"/>
            <family val="2"/>
          </rPr>
          <t xml:space="preserve">mortaility table given to us for the assigment. The mortality table is missing smoking status, high risk, low risk. We need to combine this information from the data that has been given to us. </t>
        </r>
      </text>
    </comment>
  </commentList>
</comments>
</file>

<file path=xl/sharedStrings.xml><?xml version="1.0" encoding="utf-8"?>
<sst xmlns="http://schemas.openxmlformats.org/spreadsheetml/2006/main" count="417" uniqueCount="109">
  <si>
    <t>SPWL</t>
  </si>
  <si>
    <t>F</t>
  </si>
  <si>
    <t>T20</t>
  </si>
  <si>
    <t>Age</t>
  </si>
  <si>
    <t/>
  </si>
  <si>
    <t>Mortality Rate</t>
  </si>
  <si>
    <t>p_x</t>
  </si>
  <si>
    <t>n_p_x</t>
  </si>
  <si>
    <t>nLx</t>
  </si>
  <si>
    <t>n_e_x</t>
  </si>
  <si>
    <t>Whole-Life Insurance</t>
  </si>
  <si>
    <t>Amounts with Decrements</t>
  </si>
  <si>
    <t>Amounts without Decrements</t>
  </si>
  <si>
    <t>Decrement Information</t>
  </si>
  <si>
    <t>Reserves &amp; Capital (Decremented)</t>
  </si>
  <si>
    <r>
      <t>P</t>
    </r>
    <r>
      <rPr>
        <vertAlign val="subscript"/>
        <sz val="10"/>
        <rFont val="Arial"/>
        <family val="2"/>
      </rPr>
      <t>t</t>
    </r>
  </si>
  <si>
    <r>
      <t>C</t>
    </r>
    <r>
      <rPr>
        <vertAlign val="subscript"/>
        <sz val="10"/>
        <rFont val="Arial"/>
        <family val="2"/>
      </rPr>
      <t>t</t>
    </r>
  </si>
  <si>
    <r>
      <t>E</t>
    </r>
    <r>
      <rPr>
        <vertAlign val="subscript"/>
        <sz val="10"/>
        <rFont val="Arial"/>
        <family val="2"/>
      </rPr>
      <t>t</t>
    </r>
  </si>
  <si>
    <r>
      <t>DB</t>
    </r>
    <r>
      <rPr>
        <vertAlign val="subscript"/>
        <sz val="10"/>
        <rFont val="Arial"/>
        <family val="2"/>
      </rPr>
      <t>t</t>
    </r>
  </si>
  <si>
    <r>
      <t>W</t>
    </r>
    <r>
      <rPr>
        <vertAlign val="subscript"/>
        <sz val="10"/>
        <rFont val="Arial"/>
        <family val="2"/>
      </rPr>
      <t>t</t>
    </r>
  </si>
  <si>
    <r>
      <t>CR</t>
    </r>
    <r>
      <rPr>
        <vertAlign val="subscript"/>
        <sz val="10"/>
        <rFont val="Arial"/>
        <family val="2"/>
      </rPr>
      <t>t</t>
    </r>
  </si>
  <si>
    <r>
      <t>I</t>
    </r>
    <r>
      <rPr>
        <vertAlign val="subscript"/>
        <sz val="10"/>
        <rFont val="Arial"/>
        <family val="2"/>
      </rPr>
      <t>t</t>
    </r>
  </si>
  <si>
    <r>
      <t>PR</t>
    </r>
    <r>
      <rPr>
        <vertAlign val="subscript"/>
        <sz val="10"/>
        <rFont val="Arial"/>
        <family val="2"/>
      </rPr>
      <t>t</t>
    </r>
  </si>
  <si>
    <r>
      <t>CS</t>
    </r>
    <r>
      <rPr>
        <vertAlign val="subscript"/>
        <sz val="10"/>
        <rFont val="Arial"/>
        <family val="2"/>
      </rPr>
      <t>t</t>
    </r>
  </si>
  <si>
    <r>
      <t>DE</t>
    </r>
    <r>
      <rPr>
        <vertAlign val="subscript"/>
        <sz val="10"/>
        <rFont val="Arial"/>
        <family val="2"/>
      </rPr>
      <t>t</t>
    </r>
  </si>
  <si>
    <t>Premium:</t>
  </si>
  <si>
    <t>Year</t>
  </si>
  <si>
    <t>Premium</t>
  </si>
  <si>
    <t>Commission</t>
  </si>
  <si>
    <t>Expenses</t>
  </si>
  <si>
    <t>Death Benefit</t>
  </si>
  <si>
    <t>SV per 1000</t>
  </si>
  <si>
    <t>Reserves per 1000</t>
  </si>
  <si>
    <t>Withdrawal Benefit</t>
  </si>
  <si>
    <t>Reserve</t>
  </si>
  <si>
    <t>Mortality Rate per 1000</t>
  </si>
  <si>
    <t>Lapse Rate</t>
  </si>
  <si>
    <t>In Force
(sop)</t>
  </si>
  <si>
    <t>Deaths</t>
  </si>
  <si>
    <t>Lapses</t>
  </si>
  <si>
    <t>In Force
(eop)</t>
  </si>
  <si>
    <t>Reserve
(sop)</t>
  </si>
  <si>
    <t>Capital
(sop)</t>
  </si>
  <si>
    <t>Reserve
(eop)</t>
  </si>
  <si>
    <t>Capital
(eop)</t>
  </si>
  <si>
    <t>Premium
(sop)</t>
  </si>
  <si>
    <t>Commission
(sop)</t>
  </si>
  <si>
    <t>Expenses
(eop)</t>
  </si>
  <si>
    <t>Death Benefits
(eop)</t>
  </si>
  <si>
    <t>Withdrawals
(eop)</t>
  </si>
  <si>
    <t>Cash Flow</t>
  </si>
  <si>
    <t>Reserve Increase</t>
  </si>
  <si>
    <t>Interest</t>
  </si>
  <si>
    <t>Profit</t>
  </si>
  <si>
    <t>Surplus increase</t>
  </si>
  <si>
    <t>Distibutable Earnings</t>
  </si>
  <si>
    <t>Lives</t>
  </si>
  <si>
    <t>SV</t>
  </si>
  <si>
    <t>Assumption Information for Issue Age 35:</t>
  </si>
  <si>
    <t>Present Value of DE:</t>
  </si>
  <si>
    <t>Investment Earnings Rate:</t>
  </si>
  <si>
    <t>Discount Rate:</t>
  </si>
  <si>
    <t>Lapse Rates:</t>
  </si>
  <si>
    <t>Duration</t>
  </si>
  <si>
    <t>Rate</t>
  </si>
  <si>
    <t>Death Benefit Amount:</t>
  </si>
  <si>
    <t>2-5</t>
  </si>
  <si>
    <t>6-10</t>
  </si>
  <si>
    <t>11+</t>
  </si>
  <si>
    <t>Commissions (as % premium):</t>
  </si>
  <si>
    <t>Required Capital (per 1000 death benefit):</t>
  </si>
  <si>
    <t>2+</t>
  </si>
  <si>
    <t>Expenses (per policy):</t>
  </si>
  <si>
    <t>Total:</t>
  </si>
  <si>
    <t>&lt;--- change input</t>
  </si>
  <si>
    <t>Current Year</t>
  </si>
  <si>
    <t>Gender</t>
  </si>
  <si>
    <t xml:space="preserve">Risk Level </t>
  </si>
  <si>
    <t>Moderate</t>
  </si>
  <si>
    <t>Smoker</t>
  </si>
  <si>
    <t>Yes</t>
  </si>
  <si>
    <r>
      <t>CL</t>
    </r>
    <r>
      <rPr>
        <vertAlign val="subscript"/>
        <sz val="10"/>
        <rFont val="Arial"/>
        <family val="2"/>
      </rPr>
      <t>t</t>
    </r>
  </si>
  <si>
    <t>Capital</t>
  </si>
  <si>
    <t>Inforce (sop)</t>
  </si>
  <si>
    <t>Lapse</t>
  </si>
  <si>
    <t>Inforce (eop)</t>
  </si>
  <si>
    <t>Claims
(eop)</t>
  </si>
  <si>
    <t>Dist Earnings</t>
  </si>
  <si>
    <t>Present Value of Profit:</t>
  </si>
  <si>
    <t>Assumptions</t>
  </si>
  <si>
    <t>Investment Earning Rate</t>
  </si>
  <si>
    <t>**Assumption</t>
  </si>
  <si>
    <t>Discount Rate</t>
  </si>
  <si>
    <t>Refer to the economy sheet</t>
  </si>
  <si>
    <t>**Assumption (0.01 if the age is below 40, 0.02 if the age is above 40)   https://www.apra.gov.au/capital-explained</t>
  </si>
  <si>
    <t>Overhead Expenses</t>
  </si>
  <si>
    <t>% of premium instead</t>
  </si>
  <si>
    <t>fixed exepnses</t>
  </si>
  <si>
    <t xml:space="preserve">stays the same </t>
  </si>
  <si>
    <t>Commission as a % of premium</t>
  </si>
  <si>
    <t xml:space="preserve">variable </t>
  </si>
  <si>
    <t>change</t>
  </si>
  <si>
    <t xml:space="preserve">Expense per policy </t>
  </si>
  <si>
    <t>Incentive 1</t>
  </si>
  <si>
    <t>Incentive 2</t>
  </si>
  <si>
    <t>Incentive 3</t>
  </si>
  <si>
    <t>Incentive 4</t>
  </si>
  <si>
    <t xml:space="preserve">Reserves per 1000 </t>
  </si>
  <si>
    <t>20-Year Term Insurance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</si>
</sst>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_(* \(#,##0.00\);_(* &quot;-&quot;??_);_(@_)"/>
    <numFmt numFmtId="164" formatCode="_(* #,##0.000_);_(* \(#,##0.000\);_(* &quot;-&quot;??_);_(@_)"/>
    <numFmt numFmtId="165" formatCode="_(* #,##0.00000_);_(* \(#,##0.00000\);_(* &quot;-&quot;??_);_(@_)"/>
    <numFmt numFmtId="166" formatCode="_(* #,##0.0000_);_(* \(#,##0.0000\);_(* &quot;-&quot;??_);_(@_)"/>
    <numFmt numFmtId="167" formatCode="_(* #,##0_);_(* \(#,##0\);_(* &quot;-&quot;??_);_(@_)"/>
    <numFmt numFmtId="168" formatCode="0.000"/>
    <numFmt numFmtId="169" formatCode="_(* #,##0.000000_);_(* \(#,##0.000000\);_(* &quot;-&quot;??_);_(@_)"/>
    <numFmt numFmtId="170" formatCode="0.0%"/>
    <numFmt numFmtId="171" formatCode="0.0000"/>
    <numFmt numFmtId="172" formatCode="#,##0.000000"/>
    <numFmt numFmtId="173" formatCode="0.00000"/>
    <numFmt numFmtId="174" formatCode="0.000000"/>
  </numFmts>
  <fonts count="18" x14ac:knownFonts="1">
    <font>
      <sz val="12"/>
      <color theme="1"/>
      <name val="Aptos Narrow"/>
      <family val="2"/>
      <scheme val="minor"/>
    </font>
    <font>
      <sz val="12"/>
      <color theme="1"/>
      <name val="Aptos Narrow"/>
      <family val="2"/>
      <scheme val="minor"/>
    </font>
    <font>
      <sz val="11"/>
      <color theme="1"/>
      <name val="Aptos Narrow"/>
      <family val="2"/>
      <scheme val="minor"/>
    </font>
    <font>
      <b/>
      <sz val="12"/>
      <color theme="1"/>
      <name val="Aptos Narrow"/>
      <family val="2"/>
      <scheme val="minor"/>
    </font>
    <font>
      <sz val="10"/>
      <name val="Arial"/>
      <family val="2"/>
    </font>
    <font>
      <b/>
      <sz val="12"/>
      <name val="Arial"/>
      <family val="2"/>
    </font>
    <font>
      <vertAlign val="subscript"/>
      <sz val="10"/>
      <name val="Arial"/>
      <family val="2"/>
    </font>
    <font>
      <b/>
      <sz val="10"/>
      <name val="Arial"/>
      <family val="2"/>
    </font>
    <font>
      <sz val="11"/>
      <color rgb="FF3F3F76"/>
      <name val="Aptos Narrow"/>
      <family val="2"/>
      <scheme val="minor"/>
    </font>
    <font>
      <sz val="11"/>
      <color rgb="FF000000"/>
      <name val="Aptos Narrow"/>
      <family val="2"/>
      <scheme val="minor"/>
    </font>
    <font>
      <sz val="11"/>
      <color rgb="FF000000"/>
      <name val="Calibri"/>
      <family val="2"/>
      <charset val="1"/>
    </font>
    <font>
      <sz val="12"/>
      <name val="Aptos Narrow"/>
      <family val="2"/>
      <scheme val="minor"/>
    </font>
    <font>
      <b/>
      <sz val="9"/>
      <color indexed="81"/>
      <name val="Tahoma"/>
      <family val="2"/>
    </font>
    <font>
      <sz val="9"/>
      <color indexed="81"/>
      <name val="Tahoma"/>
      <family val="2"/>
    </font>
    <font>
      <b/>
      <sz val="10"/>
      <color rgb="FF000000"/>
      <name val="Tahoma"/>
      <family val="2"/>
    </font>
    <font>
      <sz val="10"/>
      <color rgb="FF000000"/>
      <name val="Tahoma"/>
      <family val="2"/>
    </font>
    <font>
      <b/>
      <sz val="9"/>
      <color rgb="FF000000"/>
      <name val="Tahoma"/>
      <family val="2"/>
    </font>
    <font>
      <sz val="9"/>
      <color rgb="FF000000"/>
      <name val="Tahoma"/>
      <family val="2"/>
    </font>
  </fonts>
  <fills count="10">
    <fill>
      <patternFill patternType="none"/>
    </fill>
    <fill>
      <patternFill patternType="gray125"/>
    </fill>
    <fill>
      <patternFill patternType="solid">
        <fgColor rgb="FFFFCC99"/>
      </patternFill>
    </fill>
    <fill>
      <patternFill patternType="solid">
        <fgColor rgb="FFFFFFCC"/>
      </patternFill>
    </fill>
    <fill>
      <patternFill patternType="solid">
        <fgColor indexed="49"/>
        <bgColor indexed="64"/>
      </patternFill>
    </fill>
    <fill>
      <patternFill patternType="solid">
        <fgColor indexed="50"/>
        <bgColor indexed="64"/>
      </patternFill>
    </fill>
    <fill>
      <patternFill patternType="solid">
        <fgColor indexed="13"/>
        <bgColor indexed="64"/>
      </patternFill>
    </fill>
    <fill>
      <patternFill patternType="solid">
        <fgColor indexed="44"/>
        <bgColor indexed="64"/>
      </patternFill>
    </fill>
    <fill>
      <patternFill patternType="solid">
        <fgColor indexed="31"/>
        <bgColor indexed="64"/>
      </patternFill>
    </fill>
    <fill>
      <patternFill patternType="solid">
        <fgColor rgb="FFFFFF00"/>
        <bgColor indexed="64"/>
      </patternFill>
    </fill>
  </fills>
  <borders count="3">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s>
  <cellStyleXfs count="9">
    <xf numFmtId="0" fontId="0" fillId="0" borderId="0"/>
    <xf numFmtId="43" fontId="1" fillId="0" borderId="0" applyFont="0" applyFill="0" applyBorder="0" applyAlignment="0" applyProtection="0"/>
    <xf numFmtId="0" fontId="2" fillId="0" borderId="0"/>
    <xf numFmtId="0" fontId="4" fillId="0" borderId="0"/>
    <xf numFmtId="43" fontId="4" fillId="0" borderId="0" applyFont="0" applyFill="0" applyBorder="0" applyAlignment="0" applyProtection="0"/>
    <xf numFmtId="9" fontId="4" fillId="0" borderId="0" applyFont="0" applyFill="0" applyBorder="0" applyAlignment="0" applyProtection="0"/>
    <xf numFmtId="0" fontId="8" fillId="2" borderId="1" applyNumberFormat="0" applyAlignment="0" applyProtection="0"/>
    <xf numFmtId="0" fontId="2" fillId="3" borderId="2" applyNumberFormat="0" applyFont="0" applyAlignment="0" applyProtection="0"/>
    <xf numFmtId="0" fontId="9" fillId="0" borderId="0"/>
  </cellStyleXfs>
  <cellXfs count="97">
    <xf numFmtId="0" fontId="0" fillId="0" borderId="0" xfId="0"/>
    <xf numFmtId="0" fontId="2" fillId="0" borderId="0" xfId="2" applyAlignment="1">
      <alignment horizontal="center" vertical="center"/>
    </xf>
    <xf numFmtId="0" fontId="0" fillId="0" borderId="0" xfId="0" applyAlignment="1">
      <alignment horizontal="center" vertical="center"/>
    </xf>
    <xf numFmtId="2" fontId="0" fillId="0" borderId="0" xfId="1" applyNumberFormat="1" applyFont="1" applyAlignment="1">
      <alignment horizontal="center" vertical="center"/>
    </xf>
    <xf numFmtId="0" fontId="5" fillId="0" borderId="0" xfId="3" applyFont="1"/>
    <xf numFmtId="0" fontId="4" fillId="0" borderId="0" xfId="3"/>
    <xf numFmtId="0" fontId="4" fillId="4" borderId="0" xfId="3" applyFill="1" applyAlignment="1">
      <alignment horizontal="center"/>
    </xf>
    <xf numFmtId="0" fontId="4" fillId="0" borderId="0" xfId="3" applyAlignment="1">
      <alignment horizontal="center"/>
    </xf>
    <xf numFmtId="10" fontId="4" fillId="0" borderId="0" xfId="3" applyNumberFormat="1"/>
    <xf numFmtId="164" fontId="0" fillId="0" borderId="0" xfId="4" applyNumberFormat="1" applyFont="1"/>
    <xf numFmtId="165" fontId="0" fillId="0" borderId="0" xfId="4" applyNumberFormat="1" applyFont="1"/>
    <xf numFmtId="166" fontId="0" fillId="0" borderId="0" xfId="4" applyNumberFormat="1" applyFont="1"/>
    <xf numFmtId="0" fontId="4" fillId="4" borderId="0" xfId="3" applyFill="1" applyAlignment="1">
      <alignment horizontal="centerContinuous"/>
    </xf>
    <xf numFmtId="0" fontId="4" fillId="5" borderId="0" xfId="3" applyFill="1" applyAlignment="1">
      <alignment horizontal="center"/>
    </xf>
    <xf numFmtId="0" fontId="4" fillId="5" borderId="0" xfId="3" applyFill="1"/>
    <xf numFmtId="0" fontId="4" fillId="6" borderId="0" xfId="3" applyFill="1" applyAlignment="1">
      <alignment horizontal="center"/>
    </xf>
    <xf numFmtId="43" fontId="0" fillId="7" borderId="0" xfId="4" applyFont="1" applyFill="1" applyAlignment="1">
      <alignment horizontal="center"/>
    </xf>
    <xf numFmtId="0" fontId="4" fillId="0" borderId="0" xfId="3" applyAlignment="1">
      <alignment horizontal="center" wrapText="1"/>
    </xf>
    <xf numFmtId="0" fontId="4" fillId="8" borderId="0" xfId="3" applyFill="1" applyAlignment="1">
      <alignment horizontal="center" wrapText="1"/>
    </xf>
    <xf numFmtId="0" fontId="4" fillId="0" borderId="0" xfId="3" applyAlignment="1">
      <alignment horizontal="center" vertical="center" wrapText="1"/>
    </xf>
    <xf numFmtId="167" fontId="4" fillId="0" borderId="0" xfId="3" applyNumberFormat="1"/>
    <xf numFmtId="1" fontId="4" fillId="0" borderId="0" xfId="3" applyNumberFormat="1"/>
    <xf numFmtId="164" fontId="4" fillId="0" borderId="0" xfId="3" applyNumberFormat="1"/>
    <xf numFmtId="168" fontId="4" fillId="0" borderId="0" xfId="3" applyNumberFormat="1"/>
    <xf numFmtId="167" fontId="4" fillId="8" borderId="0" xfId="3" applyNumberFormat="1" applyFill="1"/>
    <xf numFmtId="167" fontId="0" fillId="8" borderId="0" xfId="4" applyNumberFormat="1" applyFont="1" applyFill="1" applyAlignment="1"/>
    <xf numFmtId="165" fontId="0" fillId="6" borderId="0" xfId="4" applyNumberFormat="1" applyFont="1" applyFill="1" applyAlignment="1"/>
    <xf numFmtId="165" fontId="0" fillId="0" borderId="0" xfId="4" applyNumberFormat="1" applyFont="1" applyAlignment="1"/>
    <xf numFmtId="167" fontId="0" fillId="0" borderId="0" xfId="4" applyNumberFormat="1" applyFont="1" applyAlignment="1"/>
    <xf numFmtId="167" fontId="0" fillId="7" borderId="0" xfId="4" applyNumberFormat="1" applyFont="1" applyFill="1" applyAlignment="1"/>
    <xf numFmtId="169" fontId="0" fillId="0" borderId="0" xfId="4" applyNumberFormat="1" applyFont="1"/>
    <xf numFmtId="43" fontId="4" fillId="0" borderId="0" xfId="3" applyNumberFormat="1" applyAlignment="1">
      <alignment horizontal="center"/>
    </xf>
    <xf numFmtId="1" fontId="4" fillId="0" borderId="0" xfId="3" quotePrefix="1" applyNumberFormat="1" applyAlignment="1">
      <alignment horizontal="center"/>
    </xf>
    <xf numFmtId="168" fontId="4" fillId="0" borderId="0" xfId="3" quotePrefix="1" applyNumberFormat="1"/>
    <xf numFmtId="9" fontId="4" fillId="0" borderId="0" xfId="3" quotePrefix="1" applyNumberFormat="1"/>
    <xf numFmtId="165" fontId="0" fillId="0" borderId="0" xfId="4" quotePrefix="1" applyNumberFormat="1" applyFont="1" applyAlignment="1"/>
    <xf numFmtId="10" fontId="4" fillId="0" borderId="0" xfId="3" quotePrefix="1" applyNumberFormat="1"/>
    <xf numFmtId="0" fontId="4" fillId="6" borderId="0" xfId="3" applyFill="1"/>
    <xf numFmtId="170" fontId="4" fillId="6" borderId="0" xfId="5" applyNumberFormat="1" applyFont="1" applyFill="1" applyAlignment="1">
      <alignment horizontal="center"/>
    </xf>
    <xf numFmtId="170" fontId="0" fillId="0" borderId="0" xfId="5" applyNumberFormat="1" applyFont="1" applyAlignment="1">
      <alignment horizontal="center"/>
    </xf>
    <xf numFmtId="9" fontId="4" fillId="5" borderId="0" xfId="5" applyFont="1" applyFill="1" applyAlignment="1">
      <alignment horizontal="center"/>
    </xf>
    <xf numFmtId="170" fontId="0" fillId="7" borderId="0" xfId="5" applyNumberFormat="1" applyFont="1" applyFill="1" applyAlignment="1">
      <alignment horizontal="center"/>
    </xf>
    <xf numFmtId="9" fontId="4" fillId="6" borderId="0" xfId="5" applyFont="1" applyFill="1" applyAlignment="1">
      <alignment horizontal="center"/>
    </xf>
    <xf numFmtId="0" fontId="4" fillId="5" borderId="0" xfId="3" applyFill="1" applyAlignment="1">
      <alignment horizontal="left"/>
    </xf>
    <xf numFmtId="16" fontId="4" fillId="6" borderId="0" xfId="3" quotePrefix="1" applyNumberFormat="1" applyFill="1" applyAlignment="1">
      <alignment horizontal="center"/>
    </xf>
    <xf numFmtId="167" fontId="4" fillId="5" borderId="0" xfId="4" applyNumberFormat="1" applyFont="1" applyFill="1" applyAlignment="1">
      <alignment horizontal="center"/>
    </xf>
    <xf numFmtId="0" fontId="4" fillId="6" borderId="0" xfId="3" applyFill="1" applyAlignment="1">
      <alignment horizontal="left"/>
    </xf>
    <xf numFmtId="171" fontId="4" fillId="6" borderId="0" xfId="3" applyNumberFormat="1" applyFill="1" applyAlignment="1">
      <alignment horizontal="center"/>
    </xf>
    <xf numFmtId="167" fontId="0" fillId="0" borderId="0" xfId="4" applyNumberFormat="1" applyFont="1" applyAlignment="1">
      <alignment horizontal="center"/>
    </xf>
    <xf numFmtId="16" fontId="4" fillId="5" borderId="0" xfId="3" quotePrefix="1" applyNumberFormat="1" applyFill="1" applyAlignment="1">
      <alignment horizontal="center"/>
    </xf>
    <xf numFmtId="9" fontId="0" fillId="0" borderId="0" xfId="5" applyFont="1" applyAlignment="1">
      <alignment horizontal="center"/>
    </xf>
    <xf numFmtId="1" fontId="0" fillId="7" borderId="0" xfId="5" applyNumberFormat="1" applyFont="1" applyFill="1" applyAlignment="1">
      <alignment horizontal="center"/>
    </xf>
    <xf numFmtId="172" fontId="0" fillId="0" borderId="0" xfId="5" applyNumberFormat="1" applyFont="1" applyAlignment="1">
      <alignment horizontal="center"/>
    </xf>
    <xf numFmtId="3" fontId="0" fillId="0" borderId="0" xfId="5" applyNumberFormat="1" applyFont="1" applyAlignment="1">
      <alignment horizontal="center"/>
    </xf>
    <xf numFmtId="3" fontId="0" fillId="0" borderId="0" xfId="5" applyNumberFormat="1" applyFont="1" applyAlignment="1"/>
    <xf numFmtId="0" fontId="7" fillId="0" borderId="0" xfId="3" applyFont="1" applyAlignment="1">
      <alignment horizontal="right"/>
    </xf>
    <xf numFmtId="167" fontId="7" fillId="0" borderId="0" xfId="3" applyNumberFormat="1" applyFont="1"/>
    <xf numFmtId="0" fontId="4" fillId="0" borderId="0" xfId="3" applyAlignment="1">
      <alignment horizontal="right"/>
    </xf>
    <xf numFmtId="0" fontId="8" fillId="2" borderId="1" xfId="6" applyAlignment="1">
      <alignment horizontal="center"/>
    </xf>
    <xf numFmtId="0" fontId="0" fillId="0" borderId="0" xfId="0" applyAlignment="1">
      <alignment horizontal="center"/>
    </xf>
    <xf numFmtId="2" fontId="0" fillId="0" borderId="0" xfId="0" applyNumberFormat="1"/>
    <xf numFmtId="0" fontId="4" fillId="0" borderId="0" xfId="3" applyAlignment="1">
      <alignment horizontal="left"/>
    </xf>
    <xf numFmtId="173" fontId="0" fillId="9" borderId="0" xfId="0" applyNumberFormat="1" applyFill="1" applyAlignment="1">
      <alignment horizontal="center" vertical="center"/>
    </xf>
    <xf numFmtId="173" fontId="0" fillId="0" borderId="0" xfId="0" applyNumberFormat="1" applyAlignment="1">
      <alignment horizontal="center" vertical="center"/>
    </xf>
    <xf numFmtId="2" fontId="0" fillId="0" borderId="0" xfId="0" applyNumberFormat="1" applyAlignment="1">
      <alignment horizontal="center" vertical="center"/>
    </xf>
    <xf numFmtId="43" fontId="0" fillId="7" borderId="0" xfId="4" applyFont="1" applyFill="1" applyAlignment="1"/>
    <xf numFmtId="0" fontId="3" fillId="0" borderId="0" xfId="0" applyFont="1"/>
    <xf numFmtId="43" fontId="0" fillId="0" borderId="0" xfId="4" applyFont="1" applyAlignment="1"/>
    <xf numFmtId="0" fontId="8" fillId="2" borderId="1" xfId="6" applyAlignment="1">
      <alignment horizontal="center" vertical="center"/>
    </xf>
    <xf numFmtId="0" fontId="0" fillId="3" borderId="2" xfId="7" applyFont="1"/>
    <xf numFmtId="9" fontId="0" fillId="3" borderId="2" xfId="7" applyNumberFormat="1" applyFont="1" applyAlignment="1">
      <alignment horizontal="center" vertical="center"/>
    </xf>
    <xf numFmtId="0" fontId="0" fillId="0" borderId="0" xfId="0" applyAlignment="1">
      <alignment horizontal="left"/>
    </xf>
    <xf numFmtId="173" fontId="9" fillId="0" borderId="0" xfId="8" applyNumberFormat="1" applyAlignment="1">
      <alignment horizontal="center" vertical="center"/>
    </xf>
    <xf numFmtId="0" fontId="10" fillId="3" borderId="2" xfId="7" applyFont="1"/>
    <xf numFmtId="0" fontId="0" fillId="3" borderId="2" xfId="7" applyFont="1" applyAlignment="1">
      <alignment horizontal="center" vertical="center"/>
    </xf>
    <xf numFmtId="0" fontId="0" fillId="0" borderId="2" xfId="7" applyFont="1" applyFill="1"/>
    <xf numFmtId="0" fontId="0" fillId="0" borderId="2" xfId="7" applyFont="1" applyFill="1" applyAlignment="1">
      <alignment horizontal="center" vertical="center"/>
    </xf>
    <xf numFmtId="0" fontId="1" fillId="0" borderId="0" xfId="0" applyFont="1"/>
    <xf numFmtId="168" fontId="11" fillId="0" borderId="0" xfId="3" applyNumberFormat="1" applyFont="1"/>
    <xf numFmtId="168" fontId="1" fillId="0" borderId="0" xfId="0" applyNumberFormat="1" applyFont="1"/>
    <xf numFmtId="173" fontId="4" fillId="6" borderId="0" xfId="3" applyNumberFormat="1" applyFill="1"/>
    <xf numFmtId="173" fontId="4" fillId="0" borderId="0" xfId="3" applyNumberFormat="1"/>
    <xf numFmtId="10" fontId="0" fillId="0" borderId="0" xfId="5" applyNumberFormat="1" applyFont="1" applyAlignment="1"/>
    <xf numFmtId="174" fontId="0" fillId="0" borderId="0" xfId="5" applyNumberFormat="1" applyFont="1" applyAlignment="1"/>
    <xf numFmtId="172" fontId="4" fillId="0" borderId="0" xfId="3" applyNumberFormat="1"/>
    <xf numFmtId="167" fontId="0" fillId="0" borderId="0" xfId="4" quotePrefix="1" applyNumberFormat="1" applyFont="1" applyAlignment="1"/>
    <xf numFmtId="173" fontId="4" fillId="0" borderId="0" xfId="3" quotePrefix="1" applyNumberFormat="1"/>
    <xf numFmtId="174" fontId="4" fillId="0" borderId="0" xfId="3" applyNumberFormat="1"/>
    <xf numFmtId="2" fontId="4" fillId="6" borderId="0" xfId="3" applyNumberFormat="1" applyFill="1" applyAlignment="1">
      <alignment horizontal="center"/>
    </xf>
    <xf numFmtId="1" fontId="4" fillId="0" borderId="0" xfId="3" applyNumberFormat="1" applyAlignment="1">
      <alignment horizontal="center"/>
    </xf>
    <xf numFmtId="1" fontId="4" fillId="0" borderId="0" xfId="3" quotePrefix="1" applyNumberFormat="1"/>
    <xf numFmtId="0" fontId="4" fillId="4" borderId="0" xfId="3" applyFill="1" applyAlignment="1">
      <alignment horizontal="center"/>
    </xf>
    <xf numFmtId="0" fontId="4" fillId="0" borderId="0" xfId="3" applyAlignment="1">
      <alignment horizontal="center"/>
    </xf>
    <xf numFmtId="0" fontId="4" fillId="5" borderId="0" xfId="3" applyFill="1" applyAlignment="1">
      <alignment horizontal="center"/>
    </xf>
    <xf numFmtId="0" fontId="4" fillId="5" borderId="0" xfId="3" applyFill="1"/>
    <xf numFmtId="0" fontId="4" fillId="0" borderId="0" xfId="3"/>
    <xf numFmtId="0" fontId="4" fillId="6" borderId="0" xfId="3" applyFill="1" applyAlignment="1">
      <alignment horizontal="center"/>
    </xf>
  </cellXfs>
  <cellStyles count="9">
    <cellStyle name="Comma" xfId="1" builtinId="3"/>
    <cellStyle name="Comma 2" xfId="4" xr:uid="{102D8C81-A5CE-5845-BC89-9078D763CD21}"/>
    <cellStyle name="Input 2" xfId="6" xr:uid="{23343A8E-9FEE-F140-8B46-BEA41DC49CA2}"/>
    <cellStyle name="Normal" xfId="0" builtinId="0"/>
    <cellStyle name="Normal 2" xfId="8" xr:uid="{EDC5D04B-2007-9949-8CA2-43179B1B9A78}"/>
    <cellStyle name="Normal 3" xfId="2" xr:uid="{10F6258B-66C3-3944-9740-120133E7773E}"/>
    <cellStyle name="Normal 4" xfId="3" xr:uid="{D5174187-5EDB-4F4F-875A-26A9B1BACD55}"/>
    <cellStyle name="Note 2" xfId="7" xr:uid="{C0FB414F-D91A-2948-9CB7-71F2675C04B3}"/>
    <cellStyle name="Percent 2" xfId="5" xr:uid="{1B748248-18D5-9345-BF7E-95C4D00D55E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https://unsw-my.sharepoint.com/personal/z5359135_ad_unsw_edu_au/Documents/Base%20Pricing%20Model.xlsb" TargetMode="External"/><Relationship Id="rId1" Type="http://schemas.openxmlformats.org/officeDocument/2006/relationships/externalLinkPath" Target="https://unsw-my.sharepoint.com/personal/z5359135_ad_unsw_edu_au/Documents/Base%20Pricing%20Mode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Glossary"/>
      <sheetName val="Inputs&gt;&gt;"/>
      <sheetName val="Mapping"/>
      <sheetName val="mortality_data"/>
      <sheetName val="Economy"/>
      <sheetName val="Inforce_SOP"/>
      <sheetName val="Intervention_data"/>
      <sheetName val="average_prem"/>
      <sheetName val="EDA&gt;&gt;"/>
      <sheetName val="Lapse_Rate"/>
      <sheetName val="Base Model &gt;&gt;"/>
      <sheetName val="WLI_example"/>
      <sheetName val="WLI_v1"/>
      <sheetName val="WLI"/>
      <sheetName val="T20"/>
      <sheetName val="T20_example"/>
      <sheetName val="Mortality &gt;&gt;"/>
      <sheetName val="tom doing stuff"/>
      <sheetName val="Baseline"/>
      <sheetName val="BaselineLoading"/>
      <sheetName val="NewMort"/>
      <sheetName val="NewMortLoading"/>
    </sheetNames>
    <sheetDataSet>
      <sheetData sheetId="0"/>
      <sheetData sheetId="1"/>
      <sheetData sheetId="2"/>
      <sheetData sheetId="3">
        <row r="1">
          <cell r="A1" t="str">
            <v>Age</v>
          </cell>
          <cell r="B1" t="str">
            <v>Mortality Rate</v>
          </cell>
          <cell r="C1" t="str">
            <v>p_x</v>
          </cell>
        </row>
        <row r="2">
          <cell r="A2">
            <v>1</v>
          </cell>
          <cell r="B2">
            <v>3.54677093672172E-3</v>
          </cell>
          <cell r="C2">
            <v>0.99645322906327827</v>
          </cell>
        </row>
        <row r="3">
          <cell r="A3">
            <v>2</v>
          </cell>
          <cell r="B3">
            <v>3.37297013214739E-4</v>
          </cell>
          <cell r="C3">
            <v>0.99966270298678528</v>
          </cell>
        </row>
        <row r="4">
          <cell r="A4">
            <v>3</v>
          </cell>
          <cell r="B4">
            <v>2.4023107547649299E-4</v>
          </cell>
          <cell r="C4">
            <v>0.99975976892452356</v>
          </cell>
        </row>
        <row r="5">
          <cell r="A5">
            <v>4</v>
          </cell>
          <cell r="B5">
            <v>1.80437139263024E-4</v>
          </cell>
          <cell r="C5">
            <v>0.99981956286073692</v>
          </cell>
        </row>
        <row r="6">
          <cell r="A6">
            <v>5</v>
          </cell>
          <cell r="B6">
            <v>1.57663891994917E-4</v>
          </cell>
          <cell r="C6">
            <v>0.9998423361080051</v>
          </cell>
        </row>
        <row r="7">
          <cell r="A7">
            <v>6</v>
          </cell>
          <cell r="B7">
            <v>1.47437969758576E-4</v>
          </cell>
          <cell r="C7">
            <v>0.99985256203024142</v>
          </cell>
        </row>
        <row r="8">
          <cell r="A8">
            <v>7</v>
          </cell>
          <cell r="B8">
            <v>1.3814060864040601E-4</v>
          </cell>
          <cell r="C8">
            <v>0.99986185939135963</v>
          </cell>
        </row>
        <row r="9">
          <cell r="A9">
            <v>8</v>
          </cell>
          <cell r="B9">
            <v>1.2860488919949099E-4</v>
          </cell>
          <cell r="C9">
            <v>0.99987139511080048</v>
          </cell>
        </row>
        <row r="10">
          <cell r="A10">
            <v>9</v>
          </cell>
          <cell r="B10">
            <v>1.2627726836086399E-4</v>
          </cell>
          <cell r="C10">
            <v>0.9998737227316391</v>
          </cell>
        </row>
        <row r="11">
          <cell r="A11">
            <v>10</v>
          </cell>
          <cell r="B11">
            <v>1.2500360584498E-4</v>
          </cell>
          <cell r="C11">
            <v>0.999874996394155</v>
          </cell>
        </row>
        <row r="12">
          <cell r="A12">
            <v>11</v>
          </cell>
          <cell r="B12">
            <v>1.36966785006353E-4</v>
          </cell>
          <cell r="C12">
            <v>0.9998630332149937</v>
          </cell>
        </row>
        <row r="13">
          <cell r="A13">
            <v>12</v>
          </cell>
          <cell r="B13">
            <v>1.4521640584498001E-4</v>
          </cell>
          <cell r="C13">
            <v>0.99985478359415503</v>
          </cell>
        </row>
        <row r="14">
          <cell r="A14">
            <v>13</v>
          </cell>
          <cell r="B14">
            <v>1.6118866836086401E-4</v>
          </cell>
          <cell r="C14">
            <v>0.9998388113316391</v>
          </cell>
        </row>
        <row r="15">
          <cell r="A15">
            <v>14</v>
          </cell>
          <cell r="B15">
            <v>1.8100057255400199E-4</v>
          </cell>
          <cell r="C15">
            <v>0.99981899942744601</v>
          </cell>
        </row>
        <row r="16">
          <cell r="A16">
            <v>15</v>
          </cell>
          <cell r="B16">
            <v>2.1694796289707701E-4</v>
          </cell>
          <cell r="C16">
            <v>0.99978305203710294</v>
          </cell>
        </row>
        <row r="17">
          <cell r="A17">
            <v>16</v>
          </cell>
          <cell r="B17">
            <v>2.6258807827191799E-4</v>
          </cell>
          <cell r="C17">
            <v>0.99973741192172805</v>
          </cell>
        </row>
        <row r="18">
          <cell r="A18">
            <v>17</v>
          </cell>
          <cell r="B18">
            <v>3.1455799364675898E-4</v>
          </cell>
          <cell r="C18">
            <v>0.99968544200635323</v>
          </cell>
        </row>
        <row r="19">
          <cell r="A19">
            <v>18</v>
          </cell>
          <cell r="B19">
            <v>3.7621994790343002E-4</v>
          </cell>
          <cell r="C19">
            <v>0.99962378005209662</v>
          </cell>
        </row>
        <row r="20">
          <cell r="A20">
            <v>19</v>
          </cell>
          <cell r="B20">
            <v>4.2354015349428198E-4</v>
          </cell>
          <cell r="C20">
            <v>0.99957645984650567</v>
          </cell>
        </row>
        <row r="21">
          <cell r="A21">
            <v>20</v>
          </cell>
          <cell r="B21">
            <v>4.5942347293519598E-4</v>
          </cell>
          <cell r="C21">
            <v>0.99954057652706485</v>
          </cell>
        </row>
        <row r="22">
          <cell r="A22">
            <v>21</v>
          </cell>
          <cell r="B22">
            <v>4.9583377153748396E-4</v>
          </cell>
          <cell r="C22">
            <v>0.9995041662284625</v>
          </cell>
        </row>
        <row r="23">
          <cell r="A23">
            <v>22</v>
          </cell>
          <cell r="B23">
            <v>5.2075138958068603E-4</v>
          </cell>
          <cell r="C23">
            <v>0.99947924861041937</v>
          </cell>
        </row>
        <row r="24">
          <cell r="A24">
            <v>23</v>
          </cell>
          <cell r="B24">
            <v>5.4044964650571705E-4</v>
          </cell>
          <cell r="C24">
            <v>0.99945955035349432</v>
          </cell>
        </row>
        <row r="25">
          <cell r="A25">
            <v>24</v>
          </cell>
          <cell r="B25">
            <v>5.4255756315120703E-4</v>
          </cell>
          <cell r="C25">
            <v>0.99945744243684875</v>
          </cell>
        </row>
        <row r="26">
          <cell r="A26">
            <v>25</v>
          </cell>
          <cell r="B26">
            <v>5.4536811867852595E-4</v>
          </cell>
          <cell r="C26">
            <v>0.99945463188132144</v>
          </cell>
        </row>
        <row r="27">
          <cell r="A27">
            <v>26</v>
          </cell>
          <cell r="B27">
            <v>5.5585727141041897E-4</v>
          </cell>
          <cell r="C27">
            <v>0.99944414272858961</v>
          </cell>
        </row>
        <row r="28">
          <cell r="A28">
            <v>27</v>
          </cell>
          <cell r="B28">
            <v>5.6823515476492998E-4</v>
          </cell>
          <cell r="C28">
            <v>0.9994317648452351</v>
          </cell>
        </row>
        <row r="29">
          <cell r="A29">
            <v>28</v>
          </cell>
          <cell r="B29">
            <v>5.8293444091486605E-4</v>
          </cell>
          <cell r="C29">
            <v>0.99941706555908516</v>
          </cell>
        </row>
        <row r="30">
          <cell r="A30">
            <v>29</v>
          </cell>
          <cell r="B30">
            <v>5.9880064650571704E-4</v>
          </cell>
          <cell r="C30">
            <v>0.99940119935349425</v>
          </cell>
        </row>
        <row r="31">
          <cell r="A31">
            <v>30</v>
          </cell>
          <cell r="B31">
            <v>6.1932831181702602E-4</v>
          </cell>
          <cell r="C31">
            <v>0.99938067168818301</v>
          </cell>
        </row>
        <row r="32">
          <cell r="A32">
            <v>31</v>
          </cell>
          <cell r="B32">
            <v>6.4993111181702598E-4</v>
          </cell>
          <cell r="C32">
            <v>0.99935006888818301</v>
          </cell>
        </row>
        <row r="33">
          <cell r="A33">
            <v>32</v>
          </cell>
          <cell r="B33">
            <v>6.8674453265565405E-4</v>
          </cell>
          <cell r="C33">
            <v>0.9993132554673444</v>
          </cell>
        </row>
        <row r="34">
          <cell r="A34">
            <v>33</v>
          </cell>
          <cell r="B34">
            <v>7.2349525489199401E-4</v>
          </cell>
          <cell r="C34">
            <v>0.99927650474510799</v>
          </cell>
        </row>
        <row r="35">
          <cell r="A35">
            <v>34</v>
          </cell>
          <cell r="B35">
            <v>7.6924228132147399E-4</v>
          </cell>
          <cell r="C35">
            <v>0.99923075771867853</v>
          </cell>
        </row>
        <row r="36">
          <cell r="A36">
            <v>35</v>
          </cell>
          <cell r="B36">
            <v>8.1713505082592103E-4</v>
          </cell>
          <cell r="C36">
            <v>0.99918286494917408</v>
          </cell>
        </row>
        <row r="37">
          <cell r="A37">
            <v>36</v>
          </cell>
          <cell r="B37">
            <v>8.73384184243964E-4</v>
          </cell>
          <cell r="C37">
            <v>0.99912661581575601</v>
          </cell>
        </row>
        <row r="38">
          <cell r="A38">
            <v>37</v>
          </cell>
          <cell r="B38">
            <v>9.4989016213468795E-4</v>
          </cell>
          <cell r="C38">
            <v>0.99905010983786535</v>
          </cell>
        </row>
        <row r="39">
          <cell r="A39">
            <v>38</v>
          </cell>
          <cell r="B39">
            <v>1.03891790673443E-3</v>
          </cell>
          <cell r="C39">
            <v>0.99896108209326562</v>
          </cell>
        </row>
        <row r="40">
          <cell r="A40">
            <v>39</v>
          </cell>
          <cell r="B40">
            <v>1.1303800152477699E-3</v>
          </cell>
          <cell r="C40">
            <v>0.99886961998475221</v>
          </cell>
        </row>
        <row r="41">
          <cell r="A41">
            <v>40</v>
          </cell>
          <cell r="B41">
            <v>1.22580094459974E-3</v>
          </cell>
          <cell r="C41">
            <v>0.99877419905540021</v>
          </cell>
        </row>
        <row r="42">
          <cell r="A42">
            <v>41</v>
          </cell>
          <cell r="B42">
            <v>1.33701847674714E-3</v>
          </cell>
          <cell r="C42">
            <v>0.99866298152325284</v>
          </cell>
        </row>
        <row r="43">
          <cell r="A43">
            <v>42</v>
          </cell>
          <cell r="B43">
            <v>1.4474328449809401E-3</v>
          </cell>
          <cell r="C43">
            <v>0.99855256715501906</v>
          </cell>
        </row>
        <row r="44">
          <cell r="A44">
            <v>43</v>
          </cell>
          <cell r="B44">
            <v>1.57335519517153E-3</v>
          </cell>
          <cell r="C44">
            <v>0.99842664480482846</v>
          </cell>
        </row>
        <row r="45">
          <cell r="A45">
            <v>44</v>
          </cell>
          <cell r="B45">
            <v>1.7089262259212101E-3</v>
          </cell>
          <cell r="C45">
            <v>0.99829107377407877</v>
          </cell>
        </row>
        <row r="46">
          <cell r="A46">
            <v>45</v>
          </cell>
          <cell r="B46">
            <v>1.8567366205844899E-3</v>
          </cell>
          <cell r="C46">
            <v>0.9981432633794155</v>
          </cell>
        </row>
        <row r="47">
          <cell r="A47">
            <v>46</v>
          </cell>
          <cell r="B47">
            <v>2.0141832597204501E-3</v>
          </cell>
          <cell r="C47">
            <v>0.99798581674027953</v>
          </cell>
        </row>
        <row r="48">
          <cell r="A48">
            <v>47</v>
          </cell>
          <cell r="B48">
            <v>2.1985740808132099E-3</v>
          </cell>
          <cell r="C48">
            <v>0.99780142591918675</v>
          </cell>
        </row>
        <row r="49">
          <cell r="A49">
            <v>48</v>
          </cell>
          <cell r="B49">
            <v>2.4105056658195599E-3</v>
          </cell>
          <cell r="C49">
            <v>0.99758949433418043</v>
          </cell>
        </row>
        <row r="50">
          <cell r="A50">
            <v>49</v>
          </cell>
          <cell r="B50">
            <v>2.63510375501906E-3</v>
          </cell>
          <cell r="C50">
            <v>0.99736489624498093</v>
          </cell>
        </row>
        <row r="51">
          <cell r="A51">
            <v>50</v>
          </cell>
          <cell r="B51">
            <v>2.8812138650571701E-3</v>
          </cell>
          <cell r="C51">
            <v>0.99711878613494287</v>
          </cell>
        </row>
        <row r="52">
          <cell r="A52">
            <v>51</v>
          </cell>
          <cell r="B52">
            <v>3.14502174459974E-3</v>
          </cell>
          <cell r="C52">
            <v>0.99685497825540026</v>
          </cell>
        </row>
        <row r="53">
          <cell r="A53">
            <v>52</v>
          </cell>
          <cell r="B53">
            <v>3.4487228810673402E-3</v>
          </cell>
          <cell r="C53">
            <v>0.99655127711893265</v>
          </cell>
        </row>
        <row r="54">
          <cell r="A54">
            <v>53</v>
          </cell>
          <cell r="B54">
            <v>3.7953977966963099E-3</v>
          </cell>
          <cell r="C54">
            <v>0.99620460220330365</v>
          </cell>
        </row>
        <row r="55">
          <cell r="A55">
            <v>54</v>
          </cell>
          <cell r="B55">
            <v>4.1777060914866496E-3</v>
          </cell>
          <cell r="C55">
            <v>0.9958222939085134</v>
          </cell>
        </row>
        <row r="56">
          <cell r="A56">
            <v>55</v>
          </cell>
          <cell r="B56">
            <v>4.6130945583227403E-3</v>
          </cell>
          <cell r="C56">
            <v>0.99538690544167729</v>
          </cell>
        </row>
        <row r="57">
          <cell r="A57">
            <v>56</v>
          </cell>
          <cell r="B57">
            <v>5.1056032027954196E-3</v>
          </cell>
          <cell r="C57">
            <v>0.99489439679720459</v>
          </cell>
        </row>
        <row r="58">
          <cell r="A58">
            <v>57</v>
          </cell>
          <cell r="B58">
            <v>5.6199879738246502E-3</v>
          </cell>
          <cell r="C58">
            <v>0.99438001202617532</v>
          </cell>
        </row>
        <row r="59">
          <cell r="A59">
            <v>58</v>
          </cell>
          <cell r="B59">
            <v>6.1702892129606099E-3</v>
          </cell>
          <cell r="C59">
            <v>0.99382971078703941</v>
          </cell>
        </row>
        <row r="60">
          <cell r="A60">
            <v>59</v>
          </cell>
          <cell r="B60">
            <v>6.7757222424396401E-3</v>
          </cell>
          <cell r="C60">
            <v>0.99322427775756039</v>
          </cell>
        </row>
        <row r="61">
          <cell r="A61">
            <v>60</v>
          </cell>
          <cell r="B61">
            <v>7.50100294409148E-3</v>
          </cell>
          <cell r="C61">
            <v>0.99249899705590849</v>
          </cell>
        </row>
        <row r="62">
          <cell r="A62">
            <v>61</v>
          </cell>
          <cell r="B62">
            <v>8.2742651761118103E-3</v>
          </cell>
          <cell r="C62">
            <v>0.99172573482388815</v>
          </cell>
        </row>
        <row r="63">
          <cell r="A63">
            <v>62</v>
          </cell>
          <cell r="B63">
            <v>9.0435150193138494E-3</v>
          </cell>
          <cell r="C63">
            <v>0.99095648498068611</v>
          </cell>
        </row>
        <row r="64">
          <cell r="A64">
            <v>63</v>
          </cell>
          <cell r="B64">
            <v>9.8905893872935201E-3</v>
          </cell>
          <cell r="C64">
            <v>0.99010941061270652</v>
          </cell>
        </row>
        <row r="65">
          <cell r="A65">
            <v>64</v>
          </cell>
          <cell r="B65">
            <v>1.07918106861499E-2</v>
          </cell>
          <cell r="C65">
            <v>0.98920818931385013</v>
          </cell>
        </row>
        <row r="66">
          <cell r="A66">
            <v>65</v>
          </cell>
          <cell r="B66">
            <v>1.1794807922490399E-2</v>
          </cell>
          <cell r="C66">
            <v>0.98820519207750956</v>
          </cell>
        </row>
        <row r="67">
          <cell r="A67">
            <v>66</v>
          </cell>
          <cell r="B67">
            <v>1.29524609044472E-2</v>
          </cell>
          <cell r="C67">
            <v>0.98704753909555276</v>
          </cell>
        </row>
        <row r="68">
          <cell r="A68">
            <v>67</v>
          </cell>
          <cell r="B68">
            <v>1.41886222564167E-2</v>
          </cell>
          <cell r="C68">
            <v>0.98581137774358329</v>
          </cell>
        </row>
        <row r="69">
          <cell r="A69">
            <v>68</v>
          </cell>
          <cell r="B69">
            <v>1.5503496109021599E-2</v>
          </cell>
          <cell r="C69">
            <v>0.98449650389097842</v>
          </cell>
        </row>
        <row r="70">
          <cell r="A70">
            <v>69</v>
          </cell>
          <cell r="B70">
            <v>1.6983421589326499E-2</v>
          </cell>
          <cell r="C70">
            <v>0.98301657841067347</v>
          </cell>
        </row>
        <row r="71">
          <cell r="A71">
            <v>70</v>
          </cell>
          <cell r="B71">
            <v>1.86517651242693E-2</v>
          </cell>
          <cell r="C71">
            <v>0.98134823487573075</v>
          </cell>
        </row>
        <row r="72">
          <cell r="A72">
            <v>71</v>
          </cell>
          <cell r="B72">
            <v>2.0562487060736899E-2</v>
          </cell>
          <cell r="C72">
            <v>0.97943751293926307</v>
          </cell>
        </row>
        <row r="73">
          <cell r="A73">
            <v>72</v>
          </cell>
          <cell r="B73">
            <v>2.2765758884625099E-2</v>
          </cell>
          <cell r="C73">
            <v>0.97723424111537494</v>
          </cell>
        </row>
        <row r="74">
          <cell r="A74">
            <v>73</v>
          </cell>
          <cell r="B74">
            <v>2.5307340269123201E-2</v>
          </cell>
          <cell r="C74">
            <v>0.97469265973087682</v>
          </cell>
        </row>
        <row r="75">
          <cell r="A75">
            <v>74</v>
          </cell>
          <cell r="B75">
            <v>2.83342365260482E-2</v>
          </cell>
          <cell r="C75">
            <v>0.97166576347395184</v>
          </cell>
        </row>
        <row r="76">
          <cell r="A76">
            <v>75</v>
          </cell>
          <cell r="B76">
            <v>3.1824836496060903E-2</v>
          </cell>
          <cell r="C76">
            <v>0.96817516350393906</v>
          </cell>
        </row>
        <row r="77">
          <cell r="A77">
            <v>76</v>
          </cell>
          <cell r="B77">
            <v>3.5833906505717897E-2</v>
          </cell>
          <cell r="C77">
            <v>0.96416609349428206</v>
          </cell>
        </row>
        <row r="78">
          <cell r="A78">
            <v>77</v>
          </cell>
          <cell r="B78">
            <v>4.0464987995425597E-2</v>
          </cell>
          <cell r="C78">
            <v>0.95953501200457436</v>
          </cell>
        </row>
        <row r="79">
          <cell r="A79">
            <v>78</v>
          </cell>
          <cell r="B79">
            <v>4.5643336333418001E-2</v>
          </cell>
          <cell r="C79">
            <v>0.95435666366658201</v>
          </cell>
        </row>
        <row r="80">
          <cell r="A80">
            <v>79</v>
          </cell>
          <cell r="B80">
            <v>5.1405899271918597E-2</v>
          </cell>
          <cell r="C80">
            <v>0.94859410072808137</v>
          </cell>
        </row>
        <row r="81">
          <cell r="A81">
            <v>80</v>
          </cell>
          <cell r="B81">
            <v>5.7695679228970703E-2</v>
          </cell>
          <cell r="C81">
            <v>0.94230432077102932</v>
          </cell>
        </row>
        <row r="82">
          <cell r="A82">
            <v>81</v>
          </cell>
          <cell r="B82">
            <v>6.4609670970775093E-2</v>
          </cell>
          <cell r="C82">
            <v>0.93539032902922492</v>
          </cell>
        </row>
        <row r="83">
          <cell r="A83">
            <v>82</v>
          </cell>
          <cell r="B83">
            <v>7.2388298796187994E-2</v>
          </cell>
          <cell r="C83">
            <v>0.92761170120381198</v>
          </cell>
        </row>
        <row r="84">
          <cell r="A84">
            <v>83</v>
          </cell>
          <cell r="B84">
            <v>8.1128882170520902E-2</v>
          </cell>
          <cell r="C84">
            <v>0.91887111782947906</v>
          </cell>
        </row>
        <row r="85">
          <cell r="A85">
            <v>84</v>
          </cell>
          <cell r="B85">
            <v>9.09865160770012E-2</v>
          </cell>
          <cell r="C85">
            <v>0.90901348392299886</v>
          </cell>
        </row>
        <row r="86">
          <cell r="A86">
            <v>85</v>
          </cell>
          <cell r="B86">
            <v>0.101635660771537</v>
          </cell>
          <cell r="C86">
            <v>0.89836433922846304</v>
          </cell>
        </row>
        <row r="87">
          <cell r="A87">
            <v>86</v>
          </cell>
          <cell r="B87">
            <v>0.112763425911817</v>
          </cell>
          <cell r="C87">
            <v>0.88723657408818302</v>
          </cell>
        </row>
        <row r="88">
          <cell r="A88">
            <v>87</v>
          </cell>
          <cell r="B88">
            <v>0.124909652909275</v>
          </cell>
          <cell r="C88">
            <v>0.87509034709072497</v>
          </cell>
        </row>
        <row r="89">
          <cell r="A89">
            <v>88</v>
          </cell>
          <cell r="B89">
            <v>0.138031273429987</v>
          </cell>
          <cell r="C89">
            <v>0.861968726570013</v>
          </cell>
        </row>
        <row r="90">
          <cell r="A90">
            <v>89</v>
          </cell>
          <cell r="B90">
            <v>0.15248948848157501</v>
          </cell>
          <cell r="C90">
            <v>0.84751051151842494</v>
          </cell>
        </row>
        <row r="91">
          <cell r="A91">
            <v>90</v>
          </cell>
          <cell r="B91">
            <v>0.16847775353087599</v>
          </cell>
          <cell r="C91">
            <v>0.83152224646912398</v>
          </cell>
        </row>
        <row r="92">
          <cell r="A92">
            <v>91</v>
          </cell>
          <cell r="B92">
            <v>0.184357797808894</v>
          </cell>
          <cell r="C92">
            <v>0.81564220219110606</v>
          </cell>
        </row>
        <row r="93">
          <cell r="A93">
            <v>92</v>
          </cell>
          <cell r="B93">
            <v>0.20150767026226099</v>
          </cell>
          <cell r="C93">
            <v>0.79849232973773898</v>
          </cell>
        </row>
        <row r="94">
          <cell r="A94">
            <v>93</v>
          </cell>
          <cell r="B94">
            <v>0.21947818412782699</v>
          </cell>
          <cell r="C94">
            <v>0.78052181587217295</v>
          </cell>
        </row>
        <row r="95">
          <cell r="A95">
            <v>94</v>
          </cell>
          <cell r="B95">
            <v>0.23804537449478999</v>
          </cell>
          <cell r="C95">
            <v>0.76195462550520998</v>
          </cell>
        </row>
        <row r="96">
          <cell r="A96">
            <v>95</v>
          </cell>
          <cell r="B96">
            <v>0.25796651698627698</v>
          </cell>
          <cell r="C96">
            <v>0.74203348301372296</v>
          </cell>
        </row>
        <row r="97">
          <cell r="A97">
            <v>96</v>
          </cell>
          <cell r="B97">
            <v>0.278455403956543</v>
          </cell>
          <cell r="C97">
            <v>0.721544596043457</v>
          </cell>
        </row>
        <row r="98">
          <cell r="A98">
            <v>97</v>
          </cell>
          <cell r="B98">
            <v>0.30015508886632702</v>
          </cell>
          <cell r="C98">
            <v>0.69984491113367298</v>
          </cell>
        </row>
        <row r="99">
          <cell r="A99">
            <v>98</v>
          </cell>
          <cell r="B99">
            <v>0.32312675535603502</v>
          </cell>
          <cell r="C99">
            <v>0.67687324464396492</v>
          </cell>
        </row>
        <row r="100">
          <cell r="A100">
            <v>99</v>
          </cell>
          <cell r="B100">
            <v>0.34652291522744599</v>
          </cell>
          <cell r="C100">
            <v>0.65347708477255395</v>
          </cell>
        </row>
        <row r="101">
          <cell r="A101">
            <v>100</v>
          </cell>
          <cell r="B101">
            <v>0.37097341737992301</v>
          </cell>
          <cell r="C101">
            <v>0.62902658262007694</v>
          </cell>
        </row>
        <row r="102">
          <cell r="A102">
            <v>101</v>
          </cell>
          <cell r="B102">
            <v>0.39558799944950401</v>
          </cell>
          <cell r="C102">
            <v>0.60441200055049604</v>
          </cell>
        </row>
        <row r="103">
          <cell r="A103">
            <v>102</v>
          </cell>
          <cell r="B103">
            <v>0.41980049707080003</v>
          </cell>
          <cell r="C103">
            <v>0.58019950292919997</v>
          </cell>
        </row>
        <row r="104">
          <cell r="A104">
            <v>103</v>
          </cell>
          <cell r="B104">
            <v>0.44459121840721699</v>
          </cell>
          <cell r="C104">
            <v>0.55540878159278306</v>
          </cell>
        </row>
        <row r="105">
          <cell r="A105">
            <v>104</v>
          </cell>
          <cell r="B105">
            <v>0.46981582329306198</v>
          </cell>
          <cell r="C105">
            <v>0.53018417670693796</v>
          </cell>
        </row>
        <row r="106">
          <cell r="A106">
            <v>105</v>
          </cell>
          <cell r="B106">
            <v>0.49531220556264299</v>
          </cell>
          <cell r="C106">
            <v>0.50468779443735701</v>
          </cell>
        </row>
        <row r="107">
          <cell r="A107">
            <v>106</v>
          </cell>
          <cell r="B107">
            <v>0.52091825905026601</v>
          </cell>
          <cell r="C107">
            <v>0.47908174094973399</v>
          </cell>
        </row>
        <row r="108">
          <cell r="A108">
            <v>107</v>
          </cell>
          <cell r="B108">
            <v>0.54665980912289702</v>
          </cell>
          <cell r="C108">
            <v>0.45334019087710298</v>
          </cell>
        </row>
        <row r="109">
          <cell r="A109">
            <v>108</v>
          </cell>
          <cell r="B109">
            <v>0.57258531688320202</v>
          </cell>
          <cell r="C109">
            <v>0.42741468311679798</v>
          </cell>
        </row>
        <row r="110">
          <cell r="A110">
            <v>109</v>
          </cell>
          <cell r="B110">
            <v>0.59854572710932596</v>
          </cell>
          <cell r="C110">
            <v>0.40145427289067404</v>
          </cell>
        </row>
        <row r="111">
          <cell r="A111">
            <v>110</v>
          </cell>
          <cell r="B111">
            <v>0.62439216023913602</v>
          </cell>
          <cell r="C111">
            <v>0.37560783976086398</v>
          </cell>
        </row>
        <row r="112">
          <cell r="A112">
            <v>111</v>
          </cell>
          <cell r="B112">
            <v>0.654399119391054</v>
          </cell>
          <cell r="C112">
            <v>0.345600880608946</v>
          </cell>
        </row>
        <row r="113">
          <cell r="A113">
            <v>112</v>
          </cell>
          <cell r="B113">
            <v>0.68424289066266797</v>
          </cell>
          <cell r="C113">
            <v>0.31575710933733203</v>
          </cell>
        </row>
        <row r="114">
          <cell r="A114">
            <v>113</v>
          </cell>
          <cell r="B114">
            <v>0.71388658551268103</v>
          </cell>
          <cell r="C114">
            <v>0.28611341448731897</v>
          </cell>
        </row>
        <row r="115">
          <cell r="A115">
            <v>114</v>
          </cell>
          <cell r="B115">
            <v>0.74329384237895801</v>
          </cell>
          <cell r="C115">
            <v>0.25670615762104199</v>
          </cell>
        </row>
        <row r="116">
          <cell r="A116">
            <v>115</v>
          </cell>
          <cell r="B116">
            <v>0.772428124039644</v>
          </cell>
          <cell r="C116">
            <v>0.227571875960356</v>
          </cell>
        </row>
        <row r="117">
          <cell r="A117">
            <v>116</v>
          </cell>
          <cell r="B117">
            <v>0.80141379757682296</v>
          </cell>
          <cell r="C117">
            <v>0.19858620242317704</v>
          </cell>
        </row>
        <row r="118">
          <cell r="A118">
            <v>117</v>
          </cell>
          <cell r="B118">
            <v>0.83039947111400203</v>
          </cell>
          <cell r="C118">
            <v>0.16960052888599797</v>
          </cell>
        </row>
        <row r="119">
          <cell r="A119">
            <v>118</v>
          </cell>
          <cell r="B119">
            <v>0.85938514465118099</v>
          </cell>
          <cell r="C119">
            <v>0.14061485534881901</v>
          </cell>
        </row>
        <row r="120">
          <cell r="A120">
            <v>119</v>
          </cell>
          <cell r="B120">
            <v>0.88837081818835995</v>
          </cell>
          <cell r="C120">
            <v>0.11162918181164005</v>
          </cell>
        </row>
        <row r="121">
          <cell r="A121">
            <v>120</v>
          </cell>
          <cell r="B121">
            <v>1</v>
          </cell>
          <cell r="C121">
            <v>0</v>
          </cell>
        </row>
      </sheetData>
      <sheetData sheetId="4"/>
      <sheetData sheetId="5">
        <row r="5">
          <cell r="A5">
            <v>2001</v>
          </cell>
          <cell r="B5">
            <v>1</v>
          </cell>
          <cell r="C5">
            <v>0.98749540272158887</v>
          </cell>
        </row>
        <row r="6">
          <cell r="A6">
            <v>2002</v>
          </cell>
          <cell r="B6">
            <v>0.98749540272158887</v>
          </cell>
          <cell r="C6">
            <v>0.97550553319958078</v>
          </cell>
        </row>
        <row r="7">
          <cell r="A7">
            <v>2003</v>
          </cell>
          <cell r="B7">
            <v>0.97550553319958078</v>
          </cell>
          <cell r="C7">
            <v>0.96480683019318547</v>
          </cell>
        </row>
        <row r="8">
          <cell r="A8">
            <v>2004</v>
          </cell>
          <cell r="B8">
            <v>0.96480683019318547</v>
          </cell>
          <cell r="C8">
            <v>0.95263044491397575</v>
          </cell>
        </row>
        <row r="9">
          <cell r="A9">
            <v>2005</v>
          </cell>
          <cell r="B9">
            <v>0.95263044491397575</v>
          </cell>
          <cell r="C9" t="str">
            <v xml:space="preserve"> </v>
          </cell>
        </row>
        <row r="10">
          <cell r="A10">
            <v>2006</v>
          </cell>
          <cell r="B10" t="str">
            <v xml:space="preserve"> </v>
          </cell>
        </row>
        <row r="11">
          <cell r="A11">
            <v>2007</v>
          </cell>
          <cell r="B11">
            <v>0</v>
          </cell>
        </row>
        <row r="12">
          <cell r="A12">
            <v>2008</v>
          </cell>
          <cell r="B12">
            <v>0</v>
          </cell>
        </row>
        <row r="13">
          <cell r="A13">
            <v>2009</v>
          </cell>
          <cell r="B13">
            <v>0</v>
          </cell>
        </row>
        <row r="14">
          <cell r="A14">
            <v>2010</v>
          </cell>
          <cell r="B14">
            <v>0</v>
          </cell>
        </row>
        <row r="15">
          <cell r="A15">
            <v>2011</v>
          </cell>
          <cell r="B15">
            <v>0</v>
          </cell>
        </row>
        <row r="16">
          <cell r="A16">
            <v>2012</v>
          </cell>
          <cell r="B16">
            <v>0</v>
          </cell>
        </row>
        <row r="17">
          <cell r="A17">
            <v>2013</v>
          </cell>
          <cell r="B17">
            <v>0</v>
          </cell>
        </row>
        <row r="18">
          <cell r="A18">
            <v>2014</v>
          </cell>
          <cell r="B18">
            <v>0</v>
          </cell>
        </row>
        <row r="19">
          <cell r="A19">
            <v>2015</v>
          </cell>
          <cell r="B19">
            <v>0</v>
          </cell>
        </row>
        <row r="20">
          <cell r="A20">
            <v>2016</v>
          </cell>
          <cell r="B20">
            <v>0</v>
          </cell>
        </row>
        <row r="21">
          <cell r="A21">
            <v>2017</v>
          </cell>
          <cell r="B21">
            <v>0</v>
          </cell>
        </row>
        <row r="22">
          <cell r="A22">
            <v>2018</v>
          </cell>
          <cell r="B22">
            <v>0</v>
          </cell>
        </row>
        <row r="23">
          <cell r="A23">
            <v>2019</v>
          </cell>
          <cell r="B23">
            <v>0</v>
          </cell>
        </row>
        <row r="24">
          <cell r="A24">
            <v>2020</v>
          </cell>
          <cell r="B24">
            <v>0</v>
          </cell>
        </row>
        <row r="25">
          <cell r="A25">
            <v>2021</v>
          </cell>
          <cell r="B25">
            <v>0</v>
          </cell>
        </row>
        <row r="26">
          <cell r="A26">
            <v>2022</v>
          </cell>
          <cell r="B26">
            <v>0</v>
          </cell>
        </row>
        <row r="27">
          <cell r="A27">
            <v>2023</v>
          </cell>
          <cell r="B27">
            <v>0</v>
          </cell>
        </row>
      </sheetData>
      <sheetData sheetId="6"/>
      <sheetData sheetId="7"/>
      <sheetData sheetId="8"/>
      <sheetData sheetId="9">
        <row r="4">
          <cell r="B4">
            <v>26</v>
          </cell>
          <cell r="C4">
            <v>27</v>
          </cell>
          <cell r="D4">
            <v>28</v>
          </cell>
          <cell r="E4">
            <v>29</v>
          </cell>
          <cell r="F4">
            <v>30</v>
          </cell>
          <cell r="G4">
            <v>31</v>
          </cell>
          <cell r="H4">
            <v>32</v>
          </cell>
          <cell r="I4">
            <v>33</v>
          </cell>
          <cell r="J4">
            <v>34</v>
          </cell>
          <cell r="K4">
            <v>35</v>
          </cell>
          <cell r="L4">
            <v>36</v>
          </cell>
          <cell r="M4">
            <v>37</v>
          </cell>
          <cell r="N4">
            <v>38</v>
          </cell>
          <cell r="O4">
            <v>39</v>
          </cell>
          <cell r="P4">
            <v>40</v>
          </cell>
          <cell r="Q4">
            <v>41</v>
          </cell>
          <cell r="R4">
            <v>42</v>
          </cell>
          <cell r="S4">
            <v>43</v>
          </cell>
          <cell r="T4">
            <v>44</v>
          </cell>
          <cell r="U4">
            <v>45</v>
          </cell>
          <cell r="V4">
            <v>46</v>
          </cell>
          <cell r="W4">
            <v>47</v>
          </cell>
          <cell r="X4">
            <v>48</v>
          </cell>
          <cell r="Y4">
            <v>49</v>
          </cell>
          <cell r="Z4">
            <v>50</v>
          </cell>
          <cell r="AA4">
            <v>51</v>
          </cell>
          <cell r="AB4">
            <v>52</v>
          </cell>
          <cell r="AC4">
            <v>53</v>
          </cell>
          <cell r="AD4">
            <v>54</v>
          </cell>
          <cell r="AE4">
            <v>55</v>
          </cell>
        </row>
        <row r="29">
          <cell r="B29">
            <v>0.16416685225697022</v>
          </cell>
          <cell r="C29">
            <v>0.16442888377983525</v>
          </cell>
          <cell r="D29">
            <v>0.16361132795606365</v>
          </cell>
          <cell r="E29">
            <v>0.16569985066143691</v>
          </cell>
          <cell r="F29">
            <v>0.1642752118562075</v>
          </cell>
          <cell r="G29">
            <v>0.16318841419443936</v>
          </cell>
          <cell r="H29">
            <v>0.15832562663650007</v>
          </cell>
          <cell r="I29">
            <v>0.16693960537863042</v>
          </cell>
          <cell r="J29">
            <v>0.16315679358588395</v>
          </cell>
          <cell r="K29">
            <v>0.11773144748944186</v>
          </cell>
          <cell r="L29">
            <v>0.11743225562996076</v>
          </cell>
          <cell r="M29">
            <v>0.11669129175376558</v>
          </cell>
          <cell r="N29">
            <v>0.11378421534248749</v>
          </cell>
          <cell r="O29">
            <v>0.11681508966242718</v>
          </cell>
          <cell r="P29">
            <v>0.11558155734838411</v>
          </cell>
          <cell r="Q29">
            <v>0.11538640299563621</v>
          </cell>
          <cell r="R29">
            <v>0.11408287448341813</v>
          </cell>
          <cell r="S29">
            <v>0.11577735244767295</v>
          </cell>
          <cell r="T29">
            <v>0.11130577749044791</v>
          </cell>
          <cell r="U29">
            <v>0.11088423171667089</v>
          </cell>
          <cell r="V29">
            <v>0.11282732687753254</v>
          </cell>
          <cell r="W29">
            <v>0.11326761934878118</v>
          </cell>
          <cell r="X29">
            <v>0.11422642207197771</v>
          </cell>
          <cell r="Y29">
            <v>0.10888939558682401</v>
          </cell>
          <cell r="Z29">
            <v>0.11024597561352729</v>
          </cell>
          <cell r="AA29">
            <v>0.10932095953630616</v>
          </cell>
          <cell r="AB29">
            <v>0.10691527376620817</v>
          </cell>
          <cell r="AC29">
            <v>0.11122620332480533</v>
          </cell>
          <cell r="AD29">
            <v>0.10339259222088559</v>
          </cell>
          <cell r="AE29">
            <v>0.10394976726598563</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8.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59ACB-D4E5-4940-A72E-85206375C212}">
  <dimension ref="A1"/>
  <sheetViews>
    <sheetView workbookViewId="0"/>
  </sheetViews>
  <sheetFormatPr baseColWidth="10" defaultRowHeight="16" x14ac:dyDescent="0.2"/>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48FEB-F668-A347-8B54-014FF07DA48C}">
  <sheetPr>
    <tabColor rgb="FFFFC000"/>
  </sheetPr>
  <dimension ref="A1"/>
  <sheetViews>
    <sheetView workbookViewId="0">
      <selection activeCell="I40" sqref="I40"/>
    </sheetView>
  </sheetViews>
  <sheetFormatPr baseColWidth="10" defaultRowHeight="16" x14ac:dyDescent="0.2"/>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39824-0E91-574C-8FA4-A9F19AF5AA0B}">
  <dimension ref="A1:F121"/>
  <sheetViews>
    <sheetView workbookViewId="0"/>
  </sheetViews>
  <sheetFormatPr baseColWidth="10" defaultRowHeight="16" x14ac:dyDescent="0.2"/>
  <sheetData>
    <row r="1" spans="1:6" x14ac:dyDescent="0.2">
      <c r="A1" t="s">
        <v>3</v>
      </c>
      <c r="B1" t="s">
        <v>5</v>
      </c>
      <c r="C1" t="s">
        <v>6</v>
      </c>
      <c r="D1" t="s">
        <v>7</v>
      </c>
      <c r="E1" t="s">
        <v>8</v>
      </c>
      <c r="F1" t="s">
        <v>9</v>
      </c>
    </row>
    <row r="2" spans="1:6" x14ac:dyDescent="0.2">
      <c r="A2">
        <v>1</v>
      </c>
      <c r="B2">
        <v>3.54677093672172E-3</v>
      </c>
      <c r="C2">
        <v>0.99645322906327827</v>
      </c>
      <c r="D2">
        <v>1</v>
      </c>
    </row>
    <row r="3" spans="1:6" x14ac:dyDescent="0.2">
      <c r="A3">
        <v>2</v>
      </c>
      <c r="B3">
        <v>3.37297013214739E-4</v>
      </c>
      <c r="C3">
        <v>0.99966270298678528</v>
      </c>
      <c r="D3">
        <v>0.99645322906327827</v>
      </c>
      <c r="E3">
        <v>0.99822661453163919</v>
      </c>
      <c r="F3">
        <v>78.534833732887321</v>
      </c>
    </row>
    <row r="4" spans="1:6" x14ac:dyDescent="0.2">
      <c r="A4">
        <v>3</v>
      </c>
      <c r="B4">
        <v>2.4023107547649299E-4</v>
      </c>
      <c r="C4">
        <v>0.99975976892452356</v>
      </c>
      <c r="D4">
        <v>0.99611712836530708</v>
      </c>
      <c r="E4">
        <v>0.99628517871429267</v>
      </c>
      <c r="F4">
        <v>77.812590553040224</v>
      </c>
    </row>
    <row r="5" spans="1:6" x14ac:dyDescent="0.2">
      <c r="A5">
        <v>4</v>
      </c>
      <c r="B5">
        <v>1.80437139263024E-4</v>
      </c>
      <c r="C5">
        <v>0.99981956286073692</v>
      </c>
      <c r="D5">
        <v>0.99587783007625941</v>
      </c>
      <c r="E5">
        <v>0.9959974792207833</v>
      </c>
      <c r="F5">
        <v>76.838676657682825</v>
      </c>
    </row>
    <row r="6" spans="1:6" x14ac:dyDescent="0.2">
      <c r="A6">
        <v>5</v>
      </c>
      <c r="B6">
        <v>1.57663891994917E-4</v>
      </c>
      <c r="C6">
        <v>0.9998423361080051</v>
      </c>
      <c r="D6">
        <v>0.99569813672954488</v>
      </c>
      <c r="E6">
        <v>0.9957879834029022</v>
      </c>
      <c r="F6">
        <v>75.857019986714434</v>
      </c>
    </row>
    <row r="7" spans="1:6" x14ac:dyDescent="0.2">
      <c r="A7">
        <v>6</v>
      </c>
      <c r="B7">
        <v>1.47437969758576E-4</v>
      </c>
      <c r="C7">
        <v>0.99985256203024142</v>
      </c>
      <c r="D7">
        <v>0.99554115108605601</v>
      </c>
      <c r="E7">
        <v>0.99561964390780044</v>
      </c>
      <c r="F7">
        <v>74.870619645707791</v>
      </c>
    </row>
    <row r="8" spans="1:6" x14ac:dyDescent="0.2">
      <c r="A8">
        <v>7</v>
      </c>
      <c r="B8">
        <v>1.3814060864040601E-4</v>
      </c>
      <c r="C8">
        <v>0.99986185939135963</v>
      </c>
      <c r="D8">
        <v>0.99539437051992874</v>
      </c>
      <c r="E8">
        <v>0.99546776080299237</v>
      </c>
      <c r="F8">
        <v>73.882347056040373</v>
      </c>
    </row>
    <row r="9" spans="1:6" x14ac:dyDescent="0.2">
      <c r="A9">
        <v>8</v>
      </c>
      <c r="B9">
        <v>1.2860488919949099E-4</v>
      </c>
      <c r="C9">
        <v>0.99987139511080048</v>
      </c>
      <c r="D9">
        <v>0.99525686613574793</v>
      </c>
      <c r="E9">
        <v>0.99532561832783828</v>
      </c>
      <c r="F9">
        <v>72.893167995723829</v>
      </c>
    </row>
    <row r="10" spans="1:6" x14ac:dyDescent="0.2">
      <c r="A10">
        <v>9</v>
      </c>
      <c r="B10">
        <v>1.2627726836086399E-4</v>
      </c>
      <c r="C10">
        <v>0.9998737227316391</v>
      </c>
      <c r="D10">
        <v>0.99512887123675353</v>
      </c>
      <c r="E10">
        <v>0.99519286868625079</v>
      </c>
      <c r="F10">
        <v>71.903169813669379</v>
      </c>
    </row>
    <row r="11" spans="1:6" x14ac:dyDescent="0.2">
      <c r="A11">
        <v>10</v>
      </c>
      <c r="B11">
        <v>1.2500360584498E-4</v>
      </c>
      <c r="C11">
        <v>0.999874996394155</v>
      </c>
      <c r="D11">
        <v>0.99500320908122664</v>
      </c>
      <c r="E11">
        <v>0.99506604015899014</v>
      </c>
      <c r="F11">
        <v>70.912353791516196</v>
      </c>
    </row>
    <row r="12" spans="1:6" x14ac:dyDescent="0.2">
      <c r="A12">
        <v>11</v>
      </c>
      <c r="B12">
        <v>1.36966785006353E-4</v>
      </c>
      <c r="C12">
        <v>0.9998630332149937</v>
      </c>
      <c r="D12">
        <v>0.99487883009226419</v>
      </c>
      <c r="E12">
        <v>0.99494101958674541</v>
      </c>
      <c r="F12">
        <v>69.921246394145427</v>
      </c>
    </row>
    <row r="13" spans="1:6" x14ac:dyDescent="0.2">
      <c r="A13">
        <v>12</v>
      </c>
      <c r="B13">
        <v>1.4521640584498001E-4</v>
      </c>
      <c r="C13">
        <v>0.99985478359415503</v>
      </c>
      <c r="D13">
        <v>0.99474256473743561</v>
      </c>
      <c r="E13">
        <v>0.99481069741484984</v>
      </c>
      <c r="F13">
        <v>68.929925385172126</v>
      </c>
    </row>
    <row r="14" spans="1:6" x14ac:dyDescent="0.2">
      <c r="A14">
        <v>13</v>
      </c>
      <c r="B14">
        <v>1.6118866836086401E-4</v>
      </c>
      <c r="C14">
        <v>0.9998388113316391</v>
      </c>
      <c r="D14">
        <v>0.9945981117974434</v>
      </c>
      <c r="E14">
        <v>0.99467033826743956</v>
      </c>
      <c r="F14">
        <v>67.939299295964773</v>
      </c>
    </row>
    <row r="15" spans="1:6" x14ac:dyDescent="0.2">
      <c r="A15">
        <v>14</v>
      </c>
      <c r="B15">
        <v>1.8100057255400199E-4</v>
      </c>
      <c r="C15">
        <v>0.99981899942744601</v>
      </c>
      <c r="D15">
        <v>0.99443779385224851</v>
      </c>
      <c r="E15">
        <v>0.99451795282484601</v>
      </c>
      <c r="F15">
        <v>66.949094010974548</v>
      </c>
    </row>
    <row r="16" spans="1:6" x14ac:dyDescent="0.2">
      <c r="A16">
        <v>15</v>
      </c>
      <c r="B16">
        <v>2.1694796289707701E-4</v>
      </c>
      <c r="C16">
        <v>0.99978305203710294</v>
      </c>
      <c r="D16">
        <v>0.99425780004219189</v>
      </c>
      <c r="E16">
        <v>0.9943477969472202</v>
      </c>
      <c r="F16">
        <v>65.959806578696501</v>
      </c>
    </row>
    <row r="17" spans="1:6" x14ac:dyDescent="0.2">
      <c r="A17">
        <v>16</v>
      </c>
      <c r="B17">
        <v>2.6258807827191799E-4</v>
      </c>
      <c r="C17">
        <v>0.99973741192172805</v>
      </c>
      <c r="D17">
        <v>0.99404209783787822</v>
      </c>
      <c r="E17">
        <v>0.99414994894003506</v>
      </c>
      <c r="F17">
        <v>64.971656986097045</v>
      </c>
    </row>
    <row r="18" spans="1:6" x14ac:dyDescent="0.2">
      <c r="A18">
        <v>17</v>
      </c>
      <c r="B18">
        <v>3.1455799364675898E-4</v>
      </c>
      <c r="C18">
        <v>0.99968544200635323</v>
      </c>
      <c r="D18">
        <v>0.99378107423368556</v>
      </c>
      <c r="E18">
        <v>0.99391158603578189</v>
      </c>
      <c r="F18">
        <v>63.985647015853274</v>
      </c>
    </row>
    <row r="19" spans="1:6" x14ac:dyDescent="0.2">
      <c r="A19">
        <v>18</v>
      </c>
      <c r="B19">
        <v>3.7621994790343002E-4</v>
      </c>
      <c r="C19">
        <v>0.99962378005209662</v>
      </c>
      <c r="D19">
        <v>0.99346847245285053</v>
      </c>
      <c r="E19">
        <v>0.99362477334326804</v>
      </c>
      <c r="F19">
        <v>63.002321968544813</v>
      </c>
    </row>
    <row r="20" spans="1:6" x14ac:dyDescent="0.2">
      <c r="A20">
        <v>19</v>
      </c>
      <c r="B20">
        <v>4.2354015349428198E-4</v>
      </c>
      <c r="C20">
        <v>0.99957645984650567</v>
      </c>
      <c r="D20">
        <v>0.99309470979590064</v>
      </c>
      <c r="E20">
        <v>0.99328159112437553</v>
      </c>
      <c r="F20">
        <v>62.021988759887918</v>
      </c>
    </row>
    <row r="21" spans="1:6" x14ac:dyDescent="0.2">
      <c r="A21">
        <v>20</v>
      </c>
      <c r="B21">
        <v>4.5942347293519598E-4</v>
      </c>
      <c r="C21">
        <v>0.99954057652706485</v>
      </c>
      <c r="D21">
        <v>0.99267409431007925</v>
      </c>
      <c r="E21">
        <v>0.99288440205298989</v>
      </c>
      <c r="F21">
        <v>61.045143270482846</v>
      </c>
    </row>
    <row r="22" spans="1:6" x14ac:dyDescent="0.2">
      <c r="A22">
        <v>21</v>
      </c>
      <c r="B22">
        <v>4.9583377153748396E-4</v>
      </c>
      <c r="C22">
        <v>0.9995041662284625</v>
      </c>
      <c r="D22">
        <v>0.99221803653017859</v>
      </c>
      <c r="E22">
        <v>0.99244606542012892</v>
      </c>
      <c r="F22">
        <v>60.070797435325886</v>
      </c>
    </row>
    <row r="23" spans="1:6" x14ac:dyDescent="0.2">
      <c r="A23">
        <v>22</v>
      </c>
      <c r="B23">
        <v>5.2075138958068603E-4</v>
      </c>
      <c r="C23">
        <v>0.99947924861041937</v>
      </c>
      <c r="D23">
        <v>0.99172606131893826</v>
      </c>
      <c r="E23">
        <v>0.99197204892455848</v>
      </c>
      <c r="F23">
        <v>59.0981782373523</v>
      </c>
    </row>
    <row r="24" spans="1:6" x14ac:dyDescent="0.2">
      <c r="A24">
        <v>23</v>
      </c>
      <c r="B24">
        <v>5.4044964650571705E-4</v>
      </c>
      <c r="C24">
        <v>0.99945955035349432</v>
      </c>
      <c r="D24">
        <v>0.99120961859442314</v>
      </c>
      <c r="E24">
        <v>0.99146783995668075</v>
      </c>
      <c r="F24">
        <v>58.127247606647977</v>
      </c>
    </row>
    <row r="25" spans="1:6" x14ac:dyDescent="0.2">
      <c r="A25">
        <v>24</v>
      </c>
      <c r="B25">
        <v>5.4255756315120703E-4</v>
      </c>
      <c r="C25">
        <v>0.99945744243684875</v>
      </c>
      <c r="D25">
        <v>0.9906739197064407</v>
      </c>
      <c r="E25">
        <v>0.99094176915043186</v>
      </c>
      <c r="F25">
        <v>57.157272711531931</v>
      </c>
    </row>
    <row r="26" spans="1:6" x14ac:dyDescent="0.2">
      <c r="A26">
        <v>25</v>
      </c>
      <c r="B26">
        <v>5.4536811867852595E-4</v>
      </c>
      <c r="C26">
        <v>0.99945463188132144</v>
      </c>
      <c r="D26">
        <v>0.99013642207868724</v>
      </c>
      <c r="E26">
        <v>0.99040517089256397</v>
      </c>
      <c r="F26">
        <v>56.187909672275453</v>
      </c>
    </row>
    <row r="27" spans="1:6" x14ac:dyDescent="0.2">
      <c r="A27">
        <v>26</v>
      </c>
      <c r="B27">
        <v>5.5585727141041897E-4</v>
      </c>
      <c r="C27">
        <v>0.99944414272858961</v>
      </c>
      <c r="D27">
        <v>0.98959643324094304</v>
      </c>
      <c r="E27">
        <v>0.98986642765981514</v>
      </c>
      <c r="F27">
        <v>55.218139970521186</v>
      </c>
    </row>
    <row r="28" spans="1:6" x14ac:dyDescent="0.2">
      <c r="A28">
        <v>27</v>
      </c>
      <c r="B28">
        <v>5.6823515476492998E-4</v>
      </c>
      <c r="C28">
        <v>0.9994317648452351</v>
      </c>
      <c r="D28">
        <v>0.98904635886776426</v>
      </c>
      <c r="E28">
        <v>0.98932139605435365</v>
      </c>
      <c r="F28">
        <v>54.247997783073565</v>
      </c>
    </row>
    <row r="29" spans="1:6" x14ac:dyDescent="0.2">
      <c r="A29">
        <v>28</v>
      </c>
      <c r="B29">
        <v>5.8293444091486605E-4</v>
      </c>
      <c r="C29">
        <v>0.99941706555908516</v>
      </c>
      <c r="D29">
        <v>0.98848434795696338</v>
      </c>
      <c r="E29">
        <v>0.98876535341236382</v>
      </c>
      <c r="F29">
        <v>53.277890614612808</v>
      </c>
    </row>
    <row r="30" spans="1:6" x14ac:dyDescent="0.2">
      <c r="A30">
        <v>29</v>
      </c>
      <c r="B30">
        <v>5.9880064650571704E-4</v>
      </c>
      <c r="C30">
        <v>0.99940119935349425</v>
      </c>
      <c r="D30">
        <v>0.98790812638623404</v>
      </c>
      <c r="E30">
        <v>0.98819623717159866</v>
      </c>
      <c r="F30">
        <v>52.307897918659421</v>
      </c>
    </row>
    <row r="31" spans="1:6" x14ac:dyDescent="0.2">
      <c r="A31">
        <v>30</v>
      </c>
      <c r="B31">
        <v>6.1932831181702602E-4</v>
      </c>
      <c r="C31">
        <v>0.99938067168818301</v>
      </c>
      <c r="D31">
        <v>0.9873165663614657</v>
      </c>
      <c r="E31">
        <v>0.98761234637384987</v>
      </c>
      <c r="F31">
        <v>51.338116141910689</v>
      </c>
    </row>
    <row r="32" spans="1:6" x14ac:dyDescent="0.2">
      <c r="A32">
        <v>31</v>
      </c>
      <c r="B32">
        <v>6.4993111181702598E-4</v>
      </c>
      <c r="C32">
        <v>0.99935006888818301</v>
      </c>
      <c r="D32">
        <v>0.98670509325919209</v>
      </c>
      <c r="E32">
        <v>0.98701082981032884</v>
      </c>
      <c r="F32">
        <v>50.368576278272947</v>
      </c>
    </row>
    <row r="33" spans="1:6" x14ac:dyDescent="0.2">
      <c r="A33">
        <v>32</v>
      </c>
      <c r="B33">
        <v>6.8674453265565405E-4</v>
      </c>
      <c r="C33">
        <v>0.9993132554673444</v>
      </c>
      <c r="D33">
        <v>0.98606380292089468</v>
      </c>
      <c r="E33">
        <v>0.98638444809004344</v>
      </c>
      <c r="F33">
        <v>49.399480439253942</v>
      </c>
    </row>
    <row r="34" spans="1:6" x14ac:dyDescent="0.2">
      <c r="A34">
        <v>33</v>
      </c>
      <c r="B34">
        <v>7.2349525489199401E-4</v>
      </c>
      <c r="C34">
        <v>0.99927650474510799</v>
      </c>
      <c r="D34">
        <v>0.9853866289953892</v>
      </c>
      <c r="E34">
        <v>0.985725215958142</v>
      </c>
      <c r="F34">
        <v>48.431282402028117</v>
      </c>
    </row>
    <row r="35" spans="1:6" x14ac:dyDescent="0.2">
      <c r="A35">
        <v>34</v>
      </c>
      <c r="B35">
        <v>7.6924228132147399E-4</v>
      </c>
      <c r="C35">
        <v>0.99923075771867853</v>
      </c>
      <c r="D35">
        <v>0.98467370644507701</v>
      </c>
      <c r="E35">
        <v>0.98503016772023311</v>
      </c>
      <c r="F35">
        <v>47.464221568953668</v>
      </c>
    </row>
    <row r="36" spans="1:6" x14ac:dyDescent="0.2">
      <c r="A36">
        <v>35</v>
      </c>
      <c r="B36">
        <v>8.1713505082592103E-4</v>
      </c>
      <c r="C36">
        <v>0.99918286494917408</v>
      </c>
      <c r="D36">
        <v>0.98391625379677394</v>
      </c>
      <c r="E36">
        <v>0.98429498012092553</v>
      </c>
      <c r="F36">
        <v>46.498224561412201</v>
      </c>
    </row>
    <row r="37" spans="1:6" x14ac:dyDescent="0.2">
      <c r="A37">
        <v>36</v>
      </c>
      <c r="B37">
        <v>8.73384184243964E-4</v>
      </c>
      <c r="C37">
        <v>0.99912661581575601</v>
      </c>
      <c r="D37">
        <v>0.98311226133871932</v>
      </c>
      <c r="E37">
        <v>0.98351425756774669</v>
      </c>
      <c r="F37">
        <v>45.533635580263493</v>
      </c>
    </row>
    <row r="38" spans="1:6" x14ac:dyDescent="0.2">
      <c r="A38">
        <v>37</v>
      </c>
      <c r="B38">
        <v>9.4989016213468795E-4</v>
      </c>
      <c r="C38">
        <v>0.99905010983786535</v>
      </c>
      <c r="D38">
        <v>0.98225362663832971</v>
      </c>
      <c r="E38">
        <v>0.98268294398852452</v>
      </c>
      <c r="F38">
        <v>44.570464236348002</v>
      </c>
    </row>
    <row r="39" spans="1:6" x14ac:dyDescent="0.2">
      <c r="A39">
        <v>38</v>
      </c>
      <c r="B39">
        <v>1.03891790673443E-3</v>
      </c>
      <c r="C39">
        <v>0.99896108209326562</v>
      </c>
      <c r="D39">
        <v>0.9813205935816649</v>
      </c>
      <c r="E39">
        <v>0.98178711010999731</v>
      </c>
      <c r="F39">
        <v>43.608988329137667</v>
      </c>
    </row>
    <row r="40" spans="1:6" x14ac:dyDescent="0.2">
      <c r="A40">
        <v>39</v>
      </c>
      <c r="B40">
        <v>1.1303800152477699E-3</v>
      </c>
      <c r="C40">
        <v>0.99886961998475221</v>
      </c>
      <c r="D40">
        <v>0.98030108204474564</v>
      </c>
      <c r="E40">
        <v>0.98081083781320522</v>
      </c>
      <c r="F40">
        <v>42.64997606689996</v>
      </c>
    </row>
    <row r="41" spans="1:6" x14ac:dyDescent="0.2">
      <c r="A41">
        <v>40</v>
      </c>
      <c r="B41">
        <v>1.22580094459974E-3</v>
      </c>
      <c r="C41">
        <v>0.99877419905540021</v>
      </c>
      <c r="D41">
        <v>0.97919296929267652</v>
      </c>
      <c r="E41">
        <v>0.97974702566871108</v>
      </c>
      <c r="F41">
        <v>41.693811973712826</v>
      </c>
    </row>
    <row r="42" spans="1:6" x14ac:dyDescent="0.2">
      <c r="A42">
        <v>41</v>
      </c>
      <c r="B42">
        <v>1.33701847674714E-3</v>
      </c>
      <c r="C42">
        <v>0.99866298152325284</v>
      </c>
      <c r="D42">
        <v>0.97799267362597209</v>
      </c>
      <c r="E42">
        <v>0.97859282145932425</v>
      </c>
      <c r="F42">
        <v>40.740429330848656</v>
      </c>
    </row>
    <row r="43" spans="1:6" x14ac:dyDescent="0.2">
      <c r="A43">
        <v>42</v>
      </c>
      <c r="B43">
        <v>1.4474328449809401E-3</v>
      </c>
      <c r="C43">
        <v>0.99855256715501906</v>
      </c>
      <c r="D43">
        <v>0.97668507935121085</v>
      </c>
      <c r="E43">
        <v>0.97733887648859152</v>
      </c>
      <c r="F43">
        <v>39.789816626126708</v>
      </c>
    </row>
    <row r="44" spans="1:6" x14ac:dyDescent="0.2">
      <c r="A44">
        <v>43</v>
      </c>
      <c r="B44">
        <v>1.57335519517153E-3</v>
      </c>
      <c r="C44">
        <v>0.99842664480482846</v>
      </c>
      <c r="D44">
        <v>0.97527139328815504</v>
      </c>
      <c r="E44">
        <v>0.97597823631968295</v>
      </c>
      <c r="F44">
        <v>38.842418166134742</v>
      </c>
    </row>
    <row r="45" spans="1:6" x14ac:dyDescent="0.2">
      <c r="A45">
        <v>44</v>
      </c>
      <c r="B45">
        <v>1.7089262259212101E-3</v>
      </c>
      <c r="C45">
        <v>0.99829107377407877</v>
      </c>
      <c r="D45">
        <v>0.97373694497482288</v>
      </c>
      <c r="E45">
        <v>0.97450416913148896</v>
      </c>
      <c r="F45">
        <v>37.897996687722028</v>
      </c>
    </row>
    <row r="46" spans="1:6" x14ac:dyDescent="0.2">
      <c r="A46">
        <v>45</v>
      </c>
      <c r="B46">
        <v>1.8567366205844899E-3</v>
      </c>
      <c r="C46">
        <v>0.9981432633794155</v>
      </c>
      <c r="D46">
        <v>0.97207290037240701</v>
      </c>
      <c r="E46">
        <v>0.97290492267361495</v>
      </c>
      <c r="F46">
        <v>36.95692974272793</v>
      </c>
    </row>
    <row r="47" spans="1:6" x14ac:dyDescent="0.2">
      <c r="A47">
        <v>46</v>
      </c>
      <c r="B47">
        <v>2.0141832597204501E-3</v>
      </c>
      <c r="C47">
        <v>0.99798581674027953</v>
      </c>
      <c r="D47">
        <v>0.97026801702040777</v>
      </c>
      <c r="E47">
        <v>0.97117045869640739</v>
      </c>
      <c r="F47">
        <v>36.019338598211696</v>
      </c>
    </row>
    <row r="48" spans="1:6" x14ac:dyDescent="0.2">
      <c r="A48">
        <v>47</v>
      </c>
      <c r="B48">
        <v>2.1985740808132099E-3</v>
      </c>
      <c r="C48">
        <v>0.99780142591918675</v>
      </c>
      <c r="D48">
        <v>0.96831371942308309</v>
      </c>
      <c r="E48">
        <v>0.96929086822174537</v>
      </c>
      <c r="F48">
        <v>35.0854113345952</v>
      </c>
    </row>
    <row r="49" spans="1:6" x14ac:dyDescent="0.2">
      <c r="A49">
        <v>48</v>
      </c>
      <c r="B49">
        <v>2.4105056658195599E-3</v>
      </c>
      <c r="C49">
        <v>0.99758949433418043</v>
      </c>
      <c r="D49">
        <v>0.96618480997746359</v>
      </c>
      <c r="E49">
        <v>0.96724926470027328</v>
      </c>
      <c r="F49">
        <v>34.155213285056007</v>
      </c>
    </row>
    <row r="50" spans="1:6" x14ac:dyDescent="0.2">
      <c r="A50">
        <v>49</v>
      </c>
      <c r="B50">
        <v>2.63510375501906E-3</v>
      </c>
      <c r="C50">
        <v>0.99736489624498093</v>
      </c>
      <c r="D50">
        <v>0.96385581601878412</v>
      </c>
      <c r="E50">
        <v>0.96502031299812385</v>
      </c>
      <c r="F50">
        <v>33.229369803267645</v>
      </c>
    </row>
    <row r="51" spans="1:6" x14ac:dyDescent="0.2">
      <c r="A51">
        <v>50</v>
      </c>
      <c r="B51">
        <v>2.8812138650571701E-3</v>
      </c>
      <c r="C51">
        <v>0.99711878613494287</v>
      </c>
      <c r="D51">
        <v>0.96131595593869601</v>
      </c>
      <c r="E51">
        <v>0.96258588597874006</v>
      </c>
      <c r="F51">
        <v>32.308454769375992</v>
      </c>
    </row>
    <row r="52" spans="1:6" x14ac:dyDescent="0.2">
      <c r="A52">
        <v>51</v>
      </c>
      <c r="B52">
        <v>3.14502174459974E-3</v>
      </c>
      <c r="C52">
        <v>0.99685497825540026</v>
      </c>
      <c r="D52">
        <v>0.95854619907774474</v>
      </c>
      <c r="E52">
        <v>0.95993107750822038</v>
      </c>
      <c r="F52">
        <v>31.392494802186157</v>
      </c>
    </row>
    <row r="53" spans="1:6" x14ac:dyDescent="0.2">
      <c r="A53">
        <v>52</v>
      </c>
      <c r="B53">
        <v>3.4487228810673402E-3</v>
      </c>
      <c r="C53">
        <v>0.99655127711893265</v>
      </c>
      <c r="D53">
        <v>0.95553155043844185</v>
      </c>
      <c r="E53">
        <v>0.95703887475809335</v>
      </c>
      <c r="F53">
        <v>30.481759878311422</v>
      </c>
    </row>
    <row r="54" spans="1:6" x14ac:dyDescent="0.2">
      <c r="A54">
        <v>53</v>
      </c>
      <c r="B54">
        <v>3.7953977966963099E-3</v>
      </c>
      <c r="C54">
        <v>0.99620460220330365</v>
      </c>
      <c r="D54">
        <v>0.95223618691686307</v>
      </c>
      <c r="E54">
        <v>0.95388386867765251</v>
      </c>
      <c r="F54">
        <v>29.576350655119981</v>
      </c>
    </row>
    <row r="55" spans="1:6" x14ac:dyDescent="0.2">
      <c r="A55">
        <v>54</v>
      </c>
      <c r="B55">
        <v>4.1777060914866496E-3</v>
      </c>
      <c r="C55">
        <v>0.9958222939085134</v>
      </c>
      <c r="D55">
        <v>0.94862207179110425</v>
      </c>
      <c r="E55">
        <v>0.95042912935398371</v>
      </c>
      <c r="F55">
        <v>28.676973952791275</v>
      </c>
    </row>
    <row r="56" spans="1:6" x14ac:dyDescent="0.2">
      <c r="A56">
        <v>55</v>
      </c>
      <c r="B56">
        <v>4.6130945583227403E-3</v>
      </c>
      <c r="C56">
        <v>0.99538690544167729</v>
      </c>
      <c r="D56">
        <v>0.94465900758326393</v>
      </c>
      <c r="E56">
        <v>0.94664053968718409</v>
      </c>
      <c r="F56">
        <v>27.784324214596403</v>
      </c>
    </row>
    <row r="57" spans="1:6" x14ac:dyDescent="0.2">
      <c r="A57">
        <v>56</v>
      </c>
      <c r="B57">
        <v>5.1056032027954196E-3</v>
      </c>
      <c r="C57">
        <v>0.99489439679720459</v>
      </c>
      <c r="D57">
        <v>0.94030120625591107</v>
      </c>
      <c r="E57">
        <v>0.9424801069195875</v>
      </c>
      <c r="F57">
        <v>26.898788299374054</v>
      </c>
    </row>
    <row r="58" spans="1:6" x14ac:dyDescent="0.2">
      <c r="A58">
        <v>57</v>
      </c>
      <c r="B58">
        <v>5.6199879738246502E-3</v>
      </c>
      <c r="C58">
        <v>0.99438001202617532</v>
      </c>
      <c r="D58">
        <v>0.93550040140565849</v>
      </c>
      <c r="E58">
        <v>0.93790080383078478</v>
      </c>
      <c r="F58">
        <v>26.021132792740797</v>
      </c>
    </row>
    <row r="59" spans="1:6" x14ac:dyDescent="0.2">
      <c r="A59">
        <v>58</v>
      </c>
      <c r="B59">
        <v>6.1702892129606099E-3</v>
      </c>
      <c r="C59">
        <v>0.99382971078703941</v>
      </c>
      <c r="D59">
        <v>0.93024290040025048</v>
      </c>
      <c r="E59">
        <v>0.93287165090295443</v>
      </c>
      <c r="F59">
        <v>25.152102248137325</v>
      </c>
    </row>
    <row r="60" spans="1:6" x14ac:dyDescent="0.2">
      <c r="A60">
        <v>59</v>
      </c>
      <c r="B60">
        <v>6.7757222424396401E-3</v>
      </c>
      <c r="C60">
        <v>0.99322427775756039</v>
      </c>
      <c r="D60">
        <v>0.9245030326664776</v>
      </c>
      <c r="E60">
        <v>0.9273729665333641</v>
      </c>
      <c r="F60">
        <v>24.291429785385112</v>
      </c>
    </row>
    <row r="61" spans="1:6" x14ac:dyDescent="0.2">
      <c r="A61">
        <v>60</v>
      </c>
      <c r="B61">
        <v>7.50100294409148E-3</v>
      </c>
      <c r="C61">
        <v>0.99249899705590849</v>
      </c>
      <c r="D61">
        <v>0.91823885690483642</v>
      </c>
      <c r="E61">
        <v>0.92137094478565706</v>
      </c>
      <c r="F61">
        <v>23.439141210161708</v>
      </c>
    </row>
    <row r="62" spans="1:6" x14ac:dyDescent="0.2">
      <c r="A62">
        <v>61</v>
      </c>
      <c r="B62">
        <v>8.2742651761118103E-3</v>
      </c>
      <c r="C62">
        <v>0.99172573482388815</v>
      </c>
      <c r="D62">
        <v>0.91135114453581401</v>
      </c>
      <c r="E62">
        <v>0.91479500072032516</v>
      </c>
      <c r="F62">
        <v>22.595630789404655</v>
      </c>
    </row>
    <row r="63" spans="1:6" x14ac:dyDescent="0.2">
      <c r="A63">
        <v>62</v>
      </c>
      <c r="B63">
        <v>9.0435150193138494E-3</v>
      </c>
      <c r="C63">
        <v>0.99095648498068611</v>
      </c>
      <c r="D63">
        <v>0.90381038349737164</v>
      </c>
      <c r="E63">
        <v>0.90758076401659282</v>
      </c>
      <c r="F63">
        <v>21.762622788484272</v>
      </c>
    </row>
    <row r="64" spans="1:6" x14ac:dyDescent="0.2">
      <c r="A64">
        <v>63</v>
      </c>
      <c r="B64">
        <v>9.8905893872935201E-3</v>
      </c>
      <c r="C64">
        <v>0.99010941061270652</v>
      </c>
      <c r="D64">
        <v>0.8956367607196013</v>
      </c>
      <c r="E64">
        <v>0.89972357210848641</v>
      </c>
      <c r="F64">
        <v>20.940023226038516</v>
      </c>
    </row>
    <row r="65" spans="1:6" x14ac:dyDescent="0.2">
      <c r="A65">
        <v>64</v>
      </c>
      <c r="B65">
        <v>1.07918106861499E-2</v>
      </c>
      <c r="C65">
        <v>0.98920818931385013</v>
      </c>
      <c r="D65">
        <v>0.88677838527915809</v>
      </c>
      <c r="E65">
        <v>0.89120757299937969</v>
      </c>
      <c r="F65">
        <v>20.126559829654777</v>
      </c>
    </row>
    <row r="66" spans="1:6" x14ac:dyDescent="0.2">
      <c r="A66">
        <v>65</v>
      </c>
      <c r="B66">
        <v>1.1794807922490399E-2</v>
      </c>
      <c r="C66">
        <v>0.98820519207750956</v>
      </c>
      <c r="D66">
        <v>0.87720844082465577</v>
      </c>
      <c r="E66">
        <v>0.88199341305190693</v>
      </c>
      <c r="F66">
        <v>19.32261719693112</v>
      </c>
    </row>
    <row r="67" spans="1:6" x14ac:dyDescent="0.2">
      <c r="A67">
        <v>66</v>
      </c>
      <c r="B67">
        <v>1.29524609044472E-2</v>
      </c>
      <c r="C67">
        <v>0.98704753909555276</v>
      </c>
      <c r="D67">
        <v>0.86686193575714166</v>
      </c>
      <c r="E67">
        <v>0.87203518829089877</v>
      </c>
      <c r="F67">
        <v>18.527963375421663</v>
      </c>
    </row>
    <row r="68" spans="1:6" x14ac:dyDescent="0.2">
      <c r="A68">
        <v>67</v>
      </c>
      <c r="B68">
        <v>1.41886222564167E-2</v>
      </c>
      <c r="C68">
        <v>0.98581137774358329</v>
      </c>
      <c r="D68">
        <v>0.85563394042469387</v>
      </c>
      <c r="E68">
        <v>0.86124793809091771</v>
      </c>
      <c r="F68">
        <v>17.743137680263931</v>
      </c>
    </row>
    <row r="69" spans="1:6" x14ac:dyDescent="0.2">
      <c r="A69">
        <v>68</v>
      </c>
      <c r="B69">
        <v>1.5503496109021599E-2</v>
      </c>
      <c r="C69">
        <v>0.98449650389097842</v>
      </c>
      <c r="D69">
        <v>0.84349367365423855</v>
      </c>
      <c r="E69">
        <v>0.84956380703946621</v>
      </c>
      <c r="F69">
        <v>16.969409524149256</v>
      </c>
    </row>
    <row r="70" spans="1:6" x14ac:dyDescent="0.2">
      <c r="A70">
        <v>69</v>
      </c>
      <c r="B70">
        <v>1.6983421589326499E-2</v>
      </c>
      <c r="C70">
        <v>0.98301657841067347</v>
      </c>
      <c r="D70">
        <v>0.83041657276675573</v>
      </c>
      <c r="E70">
        <v>0.83695512321049714</v>
      </c>
      <c r="F70">
        <v>16.206451047304775</v>
      </c>
    </row>
    <row r="71" spans="1:6" x14ac:dyDescent="0.2">
      <c r="A71">
        <v>70</v>
      </c>
      <c r="B71">
        <v>1.86517651242693E-2</v>
      </c>
      <c r="C71">
        <v>0.98134823487573075</v>
      </c>
      <c r="D71">
        <v>0.8163132580166943</v>
      </c>
      <c r="E71">
        <v>0.82336491539172507</v>
      </c>
      <c r="F71">
        <v>15.453790577446361</v>
      </c>
    </row>
    <row r="72" spans="1:6" x14ac:dyDescent="0.2">
      <c r="A72">
        <v>71</v>
      </c>
      <c r="B72">
        <v>2.0562487060736899E-2</v>
      </c>
      <c r="C72">
        <v>0.97943751293926307</v>
      </c>
      <c r="D72">
        <v>0.80108757486033988</v>
      </c>
      <c r="E72">
        <v>0.80870041643851709</v>
      </c>
      <c r="F72">
        <v>14.712144846655002</v>
      </c>
    </row>
    <row r="73" spans="1:6" x14ac:dyDescent="0.2">
      <c r="A73">
        <v>72</v>
      </c>
      <c r="B73">
        <v>2.2765758884625099E-2</v>
      </c>
      <c r="C73">
        <v>0.97723424111537494</v>
      </c>
      <c r="D73">
        <v>0.78461522196775701</v>
      </c>
      <c r="E73">
        <v>0.79285139841404839</v>
      </c>
      <c r="F73">
        <v>13.98226464528639</v>
      </c>
    </row>
    <row r="74" spans="1:6" x14ac:dyDescent="0.2">
      <c r="A74">
        <v>73</v>
      </c>
      <c r="B74">
        <v>2.5307340269123201E-2</v>
      </c>
      <c r="C74">
        <v>0.97469265973087682</v>
      </c>
      <c r="D74">
        <v>0.7667528610072325</v>
      </c>
      <c r="E74">
        <v>0.77568404148749481</v>
      </c>
      <c r="F74">
        <v>13.265313730762179</v>
      </c>
    </row>
    <row r="75" spans="1:6" x14ac:dyDescent="0.2">
      <c r="A75">
        <v>74</v>
      </c>
      <c r="B75">
        <v>2.83342365260482E-2</v>
      </c>
      <c r="C75">
        <v>0.97166576347395184</v>
      </c>
      <c r="D75">
        <v>0.74734838545139881</v>
      </c>
      <c r="E75">
        <v>0.75705062322931571</v>
      </c>
      <c r="F75">
        <v>12.562695916377608</v>
      </c>
    </row>
    <row r="76" spans="1:6" x14ac:dyDescent="0.2">
      <c r="A76">
        <v>75</v>
      </c>
      <c r="B76">
        <v>3.1824836496060903E-2</v>
      </c>
      <c r="C76">
        <v>0.96817516350393906</v>
      </c>
      <c r="D76">
        <v>0.7261728395306587</v>
      </c>
      <c r="E76">
        <v>0.73676061249102875</v>
      </c>
      <c r="F76">
        <v>11.875896951669098</v>
      </c>
    </row>
    <row r="77" spans="1:6" x14ac:dyDescent="0.2">
      <c r="A77">
        <v>76</v>
      </c>
      <c r="B77">
        <v>3.5833906505717897E-2</v>
      </c>
      <c r="C77">
        <v>0.96416609349428206</v>
      </c>
      <c r="D77">
        <v>0.70306250764471523</v>
      </c>
      <c r="E77">
        <v>0.71461767358768702</v>
      </c>
      <c r="F77">
        <v>11.207623525807245</v>
      </c>
    </row>
    <row r="78" spans="1:6" x14ac:dyDescent="0.2">
      <c r="A78">
        <v>77</v>
      </c>
      <c r="B78">
        <v>4.0464987995425597E-2</v>
      </c>
      <c r="C78">
        <v>0.95953501200457436</v>
      </c>
      <c r="D78">
        <v>0.67786903147809885</v>
      </c>
      <c r="E78">
        <v>0.69046576956140704</v>
      </c>
      <c r="F78">
        <v>10.559593273447652</v>
      </c>
    </row>
    <row r="79" spans="1:6" x14ac:dyDescent="0.2">
      <c r="A79">
        <v>78</v>
      </c>
      <c r="B79">
        <v>4.5643336333418001E-2</v>
      </c>
      <c r="C79">
        <v>0.95435666366658201</v>
      </c>
      <c r="D79">
        <v>0.65043906925686679</v>
      </c>
      <c r="E79">
        <v>0.66415405036748276</v>
      </c>
      <c r="F79">
        <v>9.9334650858652189</v>
      </c>
    </row>
    <row r="80" spans="1:6" x14ac:dyDescent="0.2">
      <c r="A80">
        <v>79</v>
      </c>
      <c r="B80">
        <v>5.1405899271918597E-2</v>
      </c>
      <c r="C80">
        <v>0.94859410072808137</v>
      </c>
      <c r="D80">
        <v>0.62075086005438029</v>
      </c>
      <c r="E80">
        <v>0.6355949646556236</v>
      </c>
      <c r="F80">
        <v>9.3312880383152148</v>
      </c>
    </row>
    <row r="81" spans="1:6" x14ac:dyDescent="0.2">
      <c r="A81">
        <v>80</v>
      </c>
      <c r="B81">
        <v>5.7695679228970703E-2</v>
      </c>
      <c r="C81">
        <v>0.94230432077102932</v>
      </c>
      <c r="D81">
        <v>0.58884060386946802</v>
      </c>
      <c r="E81">
        <v>0.60479573196192415</v>
      </c>
      <c r="F81">
        <v>8.7536557605056462</v>
      </c>
    </row>
    <row r="82" spans="1:6" x14ac:dyDescent="0.2">
      <c r="A82">
        <v>81</v>
      </c>
      <c r="B82">
        <v>6.4609670970775093E-2</v>
      </c>
      <c r="C82">
        <v>0.93539032902922492</v>
      </c>
      <c r="D82">
        <v>0.55486704527162178</v>
      </c>
      <c r="E82">
        <v>0.5718538245705449</v>
      </c>
      <c r="F82">
        <v>8.2009351567447606</v>
      </c>
    </row>
    <row r="83" spans="1:6" x14ac:dyDescent="0.2">
      <c r="A83">
        <v>82</v>
      </c>
      <c r="B83">
        <v>7.2388298796187994E-2</v>
      </c>
      <c r="C83">
        <v>0.92761170120381198</v>
      </c>
      <c r="D83">
        <v>0.51901726804409609</v>
      </c>
      <c r="E83">
        <v>0.53694215665785894</v>
      </c>
      <c r="F83">
        <v>7.6724502233456393</v>
      </c>
    </row>
    <row r="84" spans="1:6" x14ac:dyDescent="0.2">
      <c r="A84">
        <v>83</v>
      </c>
      <c r="B84">
        <v>8.1128882170520902E-2</v>
      </c>
      <c r="C84">
        <v>0.91887111782947906</v>
      </c>
      <c r="D84">
        <v>0.48144649096453884</v>
      </c>
      <c r="E84">
        <v>0.50023187950431747</v>
      </c>
      <c r="F84">
        <v>7.1678686968994132</v>
      </c>
    </row>
    <row r="85" spans="1:6" x14ac:dyDescent="0.2">
      <c r="A85">
        <v>84</v>
      </c>
      <c r="B85">
        <v>9.09865160770012E-2</v>
      </c>
      <c r="C85">
        <v>0.90901348392299886</v>
      </c>
      <c r="D85">
        <v>0.44238727532766597</v>
      </c>
      <c r="E85">
        <v>0.46191688314610241</v>
      </c>
      <c r="F85">
        <v>6.688211067460835</v>
      </c>
    </row>
    <row r="86" spans="1:6" x14ac:dyDescent="0.2">
      <c r="A86">
        <v>85</v>
      </c>
      <c r="B86">
        <v>0.101635660771537</v>
      </c>
      <c r="C86">
        <v>0.89836433922846304</v>
      </c>
      <c r="D86">
        <v>0.40213599838880454</v>
      </c>
      <c r="E86">
        <v>0.42226163685823526</v>
      </c>
      <c r="F86">
        <v>6.2345800160509803</v>
      </c>
    </row>
    <row r="87" spans="1:6" x14ac:dyDescent="0.2">
      <c r="A87">
        <v>86</v>
      </c>
      <c r="B87">
        <v>0.112763425911817</v>
      </c>
      <c r="C87">
        <v>0.88723657408818302</v>
      </c>
      <c r="D87">
        <v>0.36126464047253665</v>
      </c>
      <c r="E87">
        <v>0.38170031943067062</v>
      </c>
      <c r="F87">
        <v>5.8085753044085191</v>
      </c>
    </row>
    <row r="88" spans="1:6" x14ac:dyDescent="0.2">
      <c r="A88">
        <v>87</v>
      </c>
      <c r="B88">
        <v>0.124909652909275</v>
      </c>
      <c r="C88">
        <v>0.87509034709072497</v>
      </c>
      <c r="D88">
        <v>0.32052720195205259</v>
      </c>
      <c r="E88">
        <v>0.34089592121229462</v>
      </c>
      <c r="F88">
        <v>5.4091563106430218</v>
      </c>
    </row>
    <row r="89" spans="1:6" x14ac:dyDescent="0.2">
      <c r="A89">
        <v>88</v>
      </c>
      <c r="B89">
        <v>0.138031273429987</v>
      </c>
      <c r="C89">
        <v>0.861968726570013</v>
      </c>
      <c r="D89">
        <v>0.2804902604082406</v>
      </c>
      <c r="E89">
        <v>0.30050873118014659</v>
      </c>
      <c r="F89">
        <v>5.0330860494431064</v>
      </c>
    </row>
    <row r="90" spans="1:6" x14ac:dyDescent="0.2">
      <c r="A90">
        <v>89</v>
      </c>
      <c r="B90">
        <v>0.15248948848157501</v>
      </c>
      <c r="C90">
        <v>0.84751051151842494</v>
      </c>
      <c r="D90">
        <v>0.24177383257938248</v>
      </c>
      <c r="E90">
        <v>0.26113204649381155</v>
      </c>
      <c r="F90">
        <v>4.6801349020858742</v>
      </c>
    </row>
    <row r="91" spans="1:6" x14ac:dyDescent="0.2">
      <c r="A91">
        <v>90</v>
      </c>
      <c r="B91">
        <v>0.16847775353087599</v>
      </c>
      <c r="C91">
        <v>0.83152224646912398</v>
      </c>
      <c r="D91">
        <v>0.20490586452112247</v>
      </c>
      <c r="E91">
        <v>0.22333984855025246</v>
      </c>
      <c r="F91">
        <v>4.3495203749672742</v>
      </c>
    </row>
    <row r="92" spans="1:6" x14ac:dyDescent="0.2">
      <c r="A92">
        <v>91</v>
      </c>
      <c r="B92">
        <v>0.184357797808894</v>
      </c>
      <c r="C92">
        <v>0.81564220219110606</v>
      </c>
      <c r="D92">
        <v>0.17038378478130173</v>
      </c>
      <c r="E92">
        <v>0.1876448246512121</v>
      </c>
      <c r="F92">
        <v>4.042150595949968</v>
      </c>
    </row>
    <row r="93" spans="1:6" x14ac:dyDescent="0.2">
      <c r="A93">
        <v>92</v>
      </c>
      <c r="B93">
        <v>0.20150767026226099</v>
      </c>
      <c r="C93">
        <v>0.79849232973773898</v>
      </c>
      <c r="D93">
        <v>0.1389722054366764</v>
      </c>
      <c r="E93">
        <v>0.15467799510898905</v>
      </c>
      <c r="F93">
        <v>3.7598386405065289</v>
      </c>
    </row>
    <row r="94" spans="1:6" x14ac:dyDescent="0.2">
      <c r="A94">
        <v>93</v>
      </c>
      <c r="B94">
        <v>0.21947818412782699</v>
      </c>
      <c r="C94">
        <v>0.78052181587217295</v>
      </c>
      <c r="D94">
        <v>0.11096824008792341</v>
      </c>
      <c r="E94">
        <v>0.12497022276229991</v>
      </c>
      <c r="F94">
        <v>3.4966527378664796</v>
      </c>
    </row>
    <row r="95" spans="1:6" x14ac:dyDescent="0.2">
      <c r="A95">
        <v>94</v>
      </c>
      <c r="B95">
        <v>0.23804537449478999</v>
      </c>
      <c r="C95">
        <v>0.76195462550520998</v>
      </c>
      <c r="D95">
        <v>8.6613132257565242E-2</v>
      </c>
      <c r="E95">
        <v>9.8790686172744335E-2</v>
      </c>
      <c r="F95">
        <v>3.2528885704521624</v>
      </c>
    </row>
    <row r="96" spans="1:6" x14ac:dyDescent="0.2">
      <c r="A96">
        <v>95</v>
      </c>
      <c r="B96">
        <v>0.25796651698627698</v>
      </c>
      <c r="C96">
        <v>0.74203348301372296</v>
      </c>
      <c r="D96">
        <v>6.5995276753146342E-2</v>
      </c>
      <c r="E96">
        <v>7.6304204505355799E-2</v>
      </c>
      <c r="F96">
        <v>3.0269847869351629</v>
      </c>
    </row>
    <row r="97" spans="1:6" x14ac:dyDescent="0.2">
      <c r="A97">
        <v>96</v>
      </c>
      <c r="B97">
        <v>0.278455403956543</v>
      </c>
      <c r="C97">
        <v>0.721544596043457</v>
      </c>
      <c r="D97">
        <v>4.8970705071591764E-2</v>
      </c>
      <c r="E97">
        <v>5.7482990912369053E-2</v>
      </c>
      <c r="F97">
        <v>2.8164504845149527</v>
      </c>
    </row>
    <row r="98" spans="1:6" x14ac:dyDescent="0.2">
      <c r="A98">
        <v>97</v>
      </c>
      <c r="B98">
        <v>0.30015508886632702</v>
      </c>
      <c r="C98">
        <v>0.69984491113367298</v>
      </c>
      <c r="D98">
        <v>3.5334547608844948E-2</v>
      </c>
      <c r="E98">
        <v>4.2152626340218352E-2</v>
      </c>
      <c r="F98">
        <v>2.6217600519950017</v>
      </c>
    </row>
    <row r="99" spans="1:6" x14ac:dyDescent="0.2">
      <c r="A99">
        <v>98</v>
      </c>
      <c r="B99">
        <v>0.32312675535603502</v>
      </c>
      <c r="C99">
        <v>0.67687324464396492</v>
      </c>
      <c r="D99">
        <v>2.4728703331260628E-2</v>
      </c>
      <c r="E99">
        <v>3.0031625470052788E-2</v>
      </c>
      <c r="F99">
        <v>2.4405806150160854</v>
      </c>
    </row>
    <row r="100" spans="1:6" x14ac:dyDescent="0.2">
      <c r="A100">
        <v>99</v>
      </c>
      <c r="B100">
        <v>0.34652291522744599</v>
      </c>
      <c r="C100">
        <v>0.65347708477255395</v>
      </c>
      <c r="D100">
        <v>1.6738197659668407E-2</v>
      </c>
      <c r="E100">
        <v>2.0733450495464517E-2</v>
      </c>
      <c r="F100">
        <v>2.272872366639854</v>
      </c>
    </row>
    <row r="101" spans="1:6" x14ac:dyDescent="0.2">
      <c r="A101">
        <v>100</v>
      </c>
      <c r="B101">
        <v>0.37097341737992301</v>
      </c>
      <c r="C101">
        <v>0.62902658262007694</v>
      </c>
      <c r="D101">
        <v>1.0938028610986895E-2</v>
      </c>
      <c r="E101">
        <v>1.3838113135327651E-2</v>
      </c>
      <c r="F101">
        <v>2.1192088114996834</v>
      </c>
    </row>
    <row r="102" spans="1:6" x14ac:dyDescent="0.2">
      <c r="A102">
        <v>101</v>
      </c>
      <c r="B102">
        <v>0.39558799944950401</v>
      </c>
      <c r="C102">
        <v>0.60441200055049604</v>
      </c>
      <c r="D102">
        <v>6.8803107577697139E-3</v>
      </c>
      <c r="E102">
        <v>8.9091696843783055E-3</v>
      </c>
      <c r="F102">
        <v>1.9778356414184866</v>
      </c>
    </row>
    <row r="103" spans="1:6" x14ac:dyDescent="0.2">
      <c r="A103">
        <v>102</v>
      </c>
      <c r="B103">
        <v>0.41980049707080003</v>
      </c>
      <c r="C103">
        <v>0.58019950292919997</v>
      </c>
      <c r="D103">
        <v>4.1585423895126924E-3</v>
      </c>
      <c r="E103">
        <v>5.5194265736412031E-3</v>
      </c>
      <c r="F103">
        <v>1.849400935112909</v>
      </c>
    </row>
    <row r="104" spans="1:6" x14ac:dyDescent="0.2">
      <c r="A104">
        <v>103</v>
      </c>
      <c r="B104">
        <v>0.44459121840721699</v>
      </c>
      <c r="C104">
        <v>0.55540878159278306</v>
      </c>
      <c r="D104">
        <v>2.4127842273052717E-3</v>
      </c>
      <c r="E104">
        <v>3.2856633084089818E-3</v>
      </c>
      <c r="F104">
        <v>1.7325846175851565</v>
      </c>
    </row>
    <row r="105" spans="1:6" x14ac:dyDescent="0.2">
      <c r="A105">
        <v>104</v>
      </c>
      <c r="B105">
        <v>0.46981582329306198</v>
      </c>
      <c r="C105">
        <v>0.53018417670693796</v>
      </c>
      <c r="D105">
        <v>1.3400815479339054E-3</v>
      </c>
      <c r="E105">
        <v>1.8764328876195884E-3</v>
      </c>
      <c r="F105">
        <v>1.6244151561011686</v>
      </c>
    </row>
    <row r="106" spans="1:6" x14ac:dyDescent="0.2">
      <c r="A106">
        <v>105</v>
      </c>
      <c r="B106">
        <v>0.49531220556264299</v>
      </c>
      <c r="C106">
        <v>0.50468779443735701</v>
      </c>
      <c r="D106">
        <v>7.1049003221149664E-4</v>
      </c>
      <c r="E106">
        <v>1.025285790072701E-3</v>
      </c>
      <c r="F106">
        <v>1.5244821352601023</v>
      </c>
    </row>
    <row r="107" spans="1:6" x14ac:dyDescent="0.2">
      <c r="A107">
        <v>106</v>
      </c>
      <c r="B107">
        <v>0.52091825905026601</v>
      </c>
      <c r="C107">
        <v>0.47908174094973399</v>
      </c>
      <c r="D107">
        <v>3.5857564732654699E-4</v>
      </c>
      <c r="E107">
        <v>5.3453283976902179E-4</v>
      </c>
      <c r="F107">
        <v>1.4323136756425505</v>
      </c>
    </row>
    <row r="108" spans="1:6" x14ac:dyDescent="0.2">
      <c r="A108">
        <v>107</v>
      </c>
      <c r="B108">
        <v>0.54665980912289702</v>
      </c>
      <c r="C108">
        <v>0.45334019087710298</v>
      </c>
      <c r="D108">
        <v>1.7178704538337996E-4</v>
      </c>
      <c r="E108">
        <v>2.6518134635496345E-4</v>
      </c>
      <c r="F108">
        <v>1.3473077532654125</v>
      </c>
    </row>
    <row r="109" spans="1:6" x14ac:dyDescent="0.2">
      <c r="A109">
        <v>108</v>
      </c>
      <c r="B109">
        <v>0.57258531688320202</v>
      </c>
      <c r="C109">
        <v>0.42741468311679798</v>
      </c>
      <c r="D109">
        <v>7.7877971944315016E-5</v>
      </c>
      <c r="E109">
        <v>1.2483250866384749E-4</v>
      </c>
      <c r="F109">
        <v>1.2686079030808088</v>
      </c>
    </row>
    <row r="110" spans="1:6" x14ac:dyDescent="0.2">
      <c r="A110">
        <v>109</v>
      </c>
      <c r="B110">
        <v>0.59854572710932596</v>
      </c>
      <c r="C110">
        <v>0.40145427289067404</v>
      </c>
      <c r="D110">
        <v>3.3286188700358283E-5</v>
      </c>
      <c r="E110">
        <v>5.558208032233665E-5</v>
      </c>
      <c r="F110">
        <v>1.195432963033213</v>
      </c>
    </row>
    <row r="111" spans="1:6" x14ac:dyDescent="0.2">
      <c r="A111">
        <v>110</v>
      </c>
      <c r="B111">
        <v>0.62439216023913602</v>
      </c>
      <c r="C111">
        <v>0.37560783976086398</v>
      </c>
      <c r="D111">
        <v>1.3362882682004105E-5</v>
      </c>
      <c r="E111">
        <v>2.3324535691181195E-5</v>
      </c>
      <c r="F111">
        <v>1.127068489931065</v>
      </c>
    </row>
    <row r="112" spans="1:6" x14ac:dyDescent="0.2">
      <c r="A112">
        <v>111</v>
      </c>
      <c r="B112">
        <v>0.654399119391054</v>
      </c>
      <c r="C112">
        <v>0.345600880608946</v>
      </c>
      <c r="D112">
        <v>5.0192034971654218E-6</v>
      </c>
      <c r="E112">
        <v>9.1910430895847641E-6</v>
      </c>
      <c r="F112">
        <v>1.0619923171220826</v>
      </c>
    </row>
    <row r="113" spans="1:6" x14ac:dyDescent="0.2">
      <c r="A113">
        <v>112</v>
      </c>
      <c r="B113">
        <v>0.68424289066266797</v>
      </c>
      <c r="C113">
        <v>0.31575710933733203</v>
      </c>
      <c r="D113">
        <v>1.7346411485758711E-6</v>
      </c>
      <c r="E113">
        <v>3.3769223228706466E-6</v>
      </c>
      <c r="F113">
        <v>0.99622094544108308</v>
      </c>
    </row>
    <row r="114" spans="1:6" x14ac:dyDescent="0.2">
      <c r="A114">
        <v>113</v>
      </c>
      <c r="B114">
        <v>0.71388658551268103</v>
      </c>
      <c r="C114">
        <v>0.28611341448731897</v>
      </c>
      <c r="D114">
        <v>5.4772527481190655E-7</v>
      </c>
      <c r="E114">
        <v>1.1411832116938889E-6</v>
      </c>
      <c r="F114">
        <v>0.93582083635535163</v>
      </c>
    </row>
    <row r="115" spans="1:6" x14ac:dyDescent="0.2">
      <c r="A115">
        <v>114</v>
      </c>
      <c r="B115">
        <v>0.74329384237895801</v>
      </c>
      <c r="C115">
        <v>0.25670615762104199</v>
      </c>
      <c r="D115">
        <v>1.5671154857743971E-7</v>
      </c>
      <c r="E115">
        <v>3.5221841169467313E-7</v>
      </c>
      <c r="F115">
        <v>0.88024077199716189</v>
      </c>
    </row>
    <row r="116" spans="1:6" x14ac:dyDescent="0.2">
      <c r="A116">
        <v>115</v>
      </c>
      <c r="B116">
        <v>0.772428124039644</v>
      </c>
      <c r="C116">
        <v>0.227571875960356</v>
      </c>
      <c r="D116">
        <v>4.0228819490157817E-8</v>
      </c>
      <c r="E116">
        <v>9.8470184033798759E-8</v>
      </c>
      <c r="F116">
        <v>0.82898617381679929</v>
      </c>
    </row>
    <row r="117" spans="1:6" x14ac:dyDescent="0.2">
      <c r="A117">
        <v>116</v>
      </c>
      <c r="B117">
        <v>0.80141379757682296</v>
      </c>
      <c r="C117">
        <v>0.19858620242317704</v>
      </c>
      <c r="D117">
        <v>9.1549479190457458E-9</v>
      </c>
      <c r="E117">
        <v>2.4691883704601782E-8</v>
      </c>
      <c r="F117">
        <v>0.78156713054955052</v>
      </c>
    </row>
    <row r="118" spans="1:6" x14ac:dyDescent="0.2">
      <c r="A118">
        <v>117</v>
      </c>
      <c r="B118">
        <v>0.83039947111400203</v>
      </c>
      <c r="C118">
        <v>0.16960052888599797</v>
      </c>
      <c r="D118">
        <v>1.8180463406252619E-9</v>
      </c>
      <c r="E118">
        <v>5.4864971298355038E-9</v>
      </c>
      <c r="F118">
        <v>0.73726681674233185</v>
      </c>
    </row>
    <row r="119" spans="1:6" x14ac:dyDescent="0.2">
      <c r="A119">
        <v>118</v>
      </c>
      <c r="B119">
        <v>0.85938514465118099</v>
      </c>
      <c r="C119">
        <v>0.14061485534881901</v>
      </c>
      <c r="D119">
        <v>3.0834162090929765E-10</v>
      </c>
      <c r="E119">
        <v>1.0631939807672798E-9</v>
      </c>
      <c r="F119">
        <v>0.69477996883554094</v>
      </c>
    </row>
    <row r="120" spans="1:6" x14ac:dyDescent="0.2">
      <c r="A120">
        <v>119</v>
      </c>
      <c r="B120">
        <v>0.88837081818835995</v>
      </c>
      <c r="C120">
        <v>0.11162918181164005</v>
      </c>
      <c r="D120">
        <v>4.3357412422181273E-11</v>
      </c>
      <c r="E120">
        <v>1.7584951666573946E-10</v>
      </c>
      <c r="F120">
        <v>0.64846321597539447</v>
      </c>
    </row>
    <row r="121" spans="1:6" x14ac:dyDescent="0.2">
      <c r="A121">
        <v>120</v>
      </c>
      <c r="B121">
        <v>1</v>
      </c>
      <c r="C121">
        <v>0</v>
      </c>
      <c r="D121">
        <v>4.8399524741579346E-12</v>
      </c>
      <c r="E121">
        <v>2.4098682448169604E-11</v>
      </c>
      <c r="F121">
        <v>0.55581459090582008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BFCC6-931E-1A4C-9DB2-45B4D27589A5}">
  <dimension ref="A1:C121"/>
  <sheetViews>
    <sheetView workbookViewId="0">
      <selection activeCell="D30" sqref="D30"/>
    </sheetView>
  </sheetViews>
  <sheetFormatPr baseColWidth="10" defaultRowHeight="16" x14ac:dyDescent="0.2"/>
  <cols>
    <col min="1" max="1" width="10.83203125" style="2"/>
    <col min="2" max="2" width="11" style="2" bestFit="1" customWidth="1"/>
    <col min="3" max="3" width="11.5" style="2" bestFit="1" customWidth="1"/>
    <col min="4" max="16384" width="10.83203125" style="2"/>
  </cols>
  <sheetData>
    <row r="1" spans="1:3" x14ac:dyDescent="0.2">
      <c r="A1" s="2" t="s">
        <v>3</v>
      </c>
      <c r="B1" s="2" t="s">
        <v>2</v>
      </c>
      <c r="C1" s="2" t="s">
        <v>0</v>
      </c>
    </row>
    <row r="2" spans="1:3" x14ac:dyDescent="0.2">
      <c r="A2" s="1">
        <v>1</v>
      </c>
      <c r="B2" s="3" t="s">
        <v>4</v>
      </c>
      <c r="C2" s="3" t="s">
        <v>4</v>
      </c>
    </row>
    <row r="3" spans="1:3" x14ac:dyDescent="0.2">
      <c r="A3" s="1">
        <v>2</v>
      </c>
      <c r="B3" s="3" t="s">
        <v>4</v>
      </c>
      <c r="C3" s="3" t="s">
        <v>4</v>
      </c>
    </row>
    <row r="4" spans="1:3" x14ac:dyDescent="0.2">
      <c r="A4" s="1">
        <v>3</v>
      </c>
      <c r="B4" s="3" t="s">
        <v>4</v>
      </c>
      <c r="C4" s="3" t="s">
        <v>4</v>
      </c>
    </row>
    <row r="5" spans="1:3" x14ac:dyDescent="0.2">
      <c r="A5" s="1">
        <v>4</v>
      </c>
      <c r="B5" s="3" t="s">
        <v>4</v>
      </c>
      <c r="C5" s="3" t="s">
        <v>4</v>
      </c>
    </row>
    <row r="6" spans="1:3" x14ac:dyDescent="0.2">
      <c r="A6" s="1">
        <v>5</v>
      </c>
      <c r="B6" s="3" t="s">
        <v>4</v>
      </c>
      <c r="C6" s="3" t="s">
        <v>4</v>
      </c>
    </row>
    <row r="7" spans="1:3" x14ac:dyDescent="0.2">
      <c r="A7" s="1">
        <v>6</v>
      </c>
      <c r="B7" s="3" t="s">
        <v>4</v>
      </c>
      <c r="C7" s="3" t="s">
        <v>4</v>
      </c>
    </row>
    <row r="8" spans="1:3" x14ac:dyDescent="0.2">
      <c r="A8" s="1">
        <v>7</v>
      </c>
      <c r="B8" s="3" t="s">
        <v>4</v>
      </c>
      <c r="C8" s="3" t="s">
        <v>4</v>
      </c>
    </row>
    <row r="9" spans="1:3" x14ac:dyDescent="0.2">
      <c r="A9" s="1">
        <v>8</v>
      </c>
      <c r="B9" s="3" t="s">
        <v>4</v>
      </c>
      <c r="C9" s="3" t="s">
        <v>4</v>
      </c>
    </row>
    <row r="10" spans="1:3" x14ac:dyDescent="0.2">
      <c r="A10" s="1">
        <v>9</v>
      </c>
      <c r="B10" s="3" t="s">
        <v>4</v>
      </c>
      <c r="C10" s="3" t="s">
        <v>4</v>
      </c>
    </row>
    <row r="11" spans="1:3" x14ac:dyDescent="0.2">
      <c r="A11" s="1">
        <v>10</v>
      </c>
      <c r="B11" s="3" t="s">
        <v>4</v>
      </c>
      <c r="C11" s="3" t="s">
        <v>4</v>
      </c>
    </row>
    <row r="12" spans="1:3" x14ac:dyDescent="0.2">
      <c r="A12" s="1">
        <v>11</v>
      </c>
      <c r="B12" s="3" t="s">
        <v>4</v>
      </c>
      <c r="C12" s="3" t="s">
        <v>4</v>
      </c>
    </row>
    <row r="13" spans="1:3" x14ac:dyDescent="0.2">
      <c r="A13" s="1">
        <v>12</v>
      </c>
      <c r="B13" s="3" t="s">
        <v>4</v>
      </c>
      <c r="C13" s="3" t="s">
        <v>4</v>
      </c>
    </row>
    <row r="14" spans="1:3" x14ac:dyDescent="0.2">
      <c r="A14" s="1">
        <v>13</v>
      </c>
      <c r="B14" s="3" t="s">
        <v>4</v>
      </c>
      <c r="C14" s="3" t="s">
        <v>4</v>
      </c>
    </row>
    <row r="15" spans="1:3" x14ac:dyDescent="0.2">
      <c r="A15" s="1">
        <v>14</v>
      </c>
      <c r="B15" s="3" t="s">
        <v>4</v>
      </c>
      <c r="C15" s="3" t="s">
        <v>4</v>
      </c>
    </row>
    <row r="16" spans="1:3" x14ac:dyDescent="0.2">
      <c r="A16" s="1">
        <v>15</v>
      </c>
      <c r="B16" s="3" t="s">
        <v>4</v>
      </c>
      <c r="C16" s="3" t="s">
        <v>4</v>
      </c>
    </row>
    <row r="17" spans="1:3" x14ac:dyDescent="0.2">
      <c r="A17" s="1">
        <v>16</v>
      </c>
      <c r="B17" s="3" t="s">
        <v>4</v>
      </c>
      <c r="C17" s="3" t="s">
        <v>4</v>
      </c>
    </row>
    <row r="18" spans="1:3" x14ac:dyDescent="0.2">
      <c r="A18" s="1">
        <v>17</v>
      </c>
      <c r="B18" s="3" t="s">
        <v>4</v>
      </c>
      <c r="C18" s="3" t="s">
        <v>4</v>
      </c>
    </row>
    <row r="19" spans="1:3" x14ac:dyDescent="0.2">
      <c r="A19" s="1">
        <v>18</v>
      </c>
      <c r="B19" s="3" t="s">
        <v>4</v>
      </c>
      <c r="C19" s="3" t="s">
        <v>4</v>
      </c>
    </row>
    <row r="20" spans="1:3" x14ac:dyDescent="0.2">
      <c r="A20" s="1">
        <v>19</v>
      </c>
      <c r="B20" s="3" t="s">
        <v>4</v>
      </c>
      <c r="C20" s="3" t="s">
        <v>4</v>
      </c>
    </row>
    <row r="21" spans="1:3" x14ac:dyDescent="0.2">
      <c r="A21" s="1">
        <v>20</v>
      </c>
      <c r="B21" s="3" t="s">
        <v>4</v>
      </c>
      <c r="C21" s="3" t="s">
        <v>4</v>
      </c>
    </row>
    <row r="22" spans="1:3" x14ac:dyDescent="0.2">
      <c r="A22" s="1">
        <v>21</v>
      </c>
      <c r="B22" s="3" t="s">
        <v>4</v>
      </c>
      <c r="C22" s="3" t="s">
        <v>4</v>
      </c>
    </row>
    <row r="23" spans="1:3" x14ac:dyDescent="0.2">
      <c r="A23" s="1">
        <v>22</v>
      </c>
      <c r="B23" s="3" t="s">
        <v>4</v>
      </c>
      <c r="C23" s="3" t="s">
        <v>4</v>
      </c>
    </row>
    <row r="24" spans="1:3" x14ac:dyDescent="0.2">
      <c r="A24" s="1">
        <v>23</v>
      </c>
      <c r="B24" s="3" t="s">
        <v>4</v>
      </c>
      <c r="C24" s="3" t="s">
        <v>4</v>
      </c>
    </row>
    <row r="25" spans="1:3" x14ac:dyDescent="0.2">
      <c r="A25" s="1">
        <v>24</v>
      </c>
      <c r="B25" s="3" t="s">
        <v>4</v>
      </c>
      <c r="C25" s="3" t="s">
        <v>4</v>
      </c>
    </row>
    <row r="26" spans="1:3" x14ac:dyDescent="0.2">
      <c r="A26" s="1">
        <v>25</v>
      </c>
      <c r="B26" s="3" t="s">
        <v>4</v>
      </c>
      <c r="C26" s="3" t="s">
        <v>4</v>
      </c>
    </row>
    <row r="27" spans="1:3" x14ac:dyDescent="0.2">
      <c r="A27" s="1">
        <v>26</v>
      </c>
      <c r="B27" s="3">
        <v>375.56810285912218</v>
      </c>
      <c r="C27" s="3" t="s">
        <v>4</v>
      </c>
    </row>
    <row r="28" spans="1:3" x14ac:dyDescent="0.2">
      <c r="A28" s="1">
        <v>27</v>
      </c>
      <c r="B28" s="3">
        <v>412.29874735605114</v>
      </c>
      <c r="C28" s="3" t="s">
        <v>4</v>
      </c>
    </row>
    <row r="29" spans="1:3" x14ac:dyDescent="0.2">
      <c r="A29" s="1">
        <v>28</v>
      </c>
      <c r="B29" s="3">
        <v>458.22916750663347</v>
      </c>
      <c r="C29" s="3" t="s">
        <v>4</v>
      </c>
    </row>
    <row r="30" spans="1:3" x14ac:dyDescent="0.2">
      <c r="A30" s="1">
        <v>29</v>
      </c>
      <c r="B30" s="3">
        <v>499.12802603777817</v>
      </c>
      <c r="C30" s="3" t="s">
        <v>4</v>
      </c>
    </row>
    <row r="31" spans="1:3" x14ac:dyDescent="0.2">
      <c r="A31" s="1">
        <v>30</v>
      </c>
      <c r="B31" s="3">
        <v>541.67454081758444</v>
      </c>
      <c r="C31" s="3" t="s">
        <v>4</v>
      </c>
    </row>
    <row r="32" spans="1:3" x14ac:dyDescent="0.2">
      <c r="A32" s="1">
        <v>31</v>
      </c>
      <c r="B32" s="3">
        <v>606.55975536798837</v>
      </c>
      <c r="C32" s="3" t="s">
        <v>4</v>
      </c>
    </row>
    <row r="33" spans="1:3" x14ac:dyDescent="0.2">
      <c r="A33" s="1">
        <v>32</v>
      </c>
      <c r="B33" s="3">
        <v>664.00137082314552</v>
      </c>
      <c r="C33" s="3" t="s">
        <v>4</v>
      </c>
    </row>
    <row r="34" spans="1:3" x14ac:dyDescent="0.2">
      <c r="A34" s="1">
        <v>33</v>
      </c>
      <c r="B34" s="3">
        <v>737.11447946948977</v>
      </c>
      <c r="C34" s="3" t="s">
        <v>4</v>
      </c>
    </row>
    <row r="35" spans="1:3" x14ac:dyDescent="0.2">
      <c r="A35" s="1">
        <v>34</v>
      </c>
      <c r="B35" s="3">
        <v>801.47285698809083</v>
      </c>
      <c r="C35" s="3" t="s">
        <v>4</v>
      </c>
    </row>
    <row r="36" spans="1:3" x14ac:dyDescent="0.2">
      <c r="A36" s="1">
        <v>35</v>
      </c>
      <c r="B36" s="3">
        <v>886.66870510698527</v>
      </c>
      <c r="C36" s="3">
        <v>90954.060170193377</v>
      </c>
    </row>
    <row r="37" spans="1:3" x14ac:dyDescent="0.2">
      <c r="A37" s="1">
        <v>36</v>
      </c>
      <c r="B37" s="3">
        <v>978.94647903805776</v>
      </c>
      <c r="C37" s="3">
        <v>94261.754704776773</v>
      </c>
    </row>
    <row r="38" spans="1:3" x14ac:dyDescent="0.2">
      <c r="A38" s="1">
        <v>37</v>
      </c>
      <c r="B38" s="3">
        <v>1073.4727071571829</v>
      </c>
      <c r="C38" s="3">
        <v>99153.690865818207</v>
      </c>
    </row>
    <row r="39" spans="1:3" x14ac:dyDescent="0.2">
      <c r="A39" s="1">
        <v>38</v>
      </c>
      <c r="B39" s="3">
        <v>1183.6556858588556</v>
      </c>
      <c r="C39" s="3">
        <v>102207.29202000635</v>
      </c>
    </row>
    <row r="40" spans="1:3" x14ac:dyDescent="0.2">
      <c r="A40" s="1">
        <v>39</v>
      </c>
      <c r="B40" s="3">
        <v>1298.5253367154423</v>
      </c>
      <c r="C40" s="3">
        <v>109865.03976062954</v>
      </c>
    </row>
    <row r="41" spans="1:3" x14ac:dyDescent="0.2">
      <c r="A41" s="1">
        <v>40</v>
      </c>
      <c r="B41" s="3">
        <v>1412.5837959996393</v>
      </c>
      <c r="C41" s="3">
        <v>113054.97817489905</v>
      </c>
    </row>
    <row r="42" spans="1:3" x14ac:dyDescent="0.2">
      <c r="A42" s="1">
        <v>41</v>
      </c>
      <c r="B42" s="3">
        <v>1575.5423003288399</v>
      </c>
      <c r="C42" s="3">
        <v>119637.10648162905</v>
      </c>
    </row>
    <row r="43" spans="1:3" x14ac:dyDescent="0.2">
      <c r="A43" s="1">
        <v>42</v>
      </c>
      <c r="B43" s="3">
        <v>1740.8634752600744</v>
      </c>
      <c r="C43" s="3">
        <v>126404.63238451393</v>
      </c>
    </row>
    <row r="44" spans="1:3" x14ac:dyDescent="0.2">
      <c r="A44" s="1">
        <v>43</v>
      </c>
      <c r="B44" s="3">
        <v>1896.693624439941</v>
      </c>
      <c r="C44" s="3">
        <v>130759.16866374601</v>
      </c>
    </row>
    <row r="45" spans="1:3" x14ac:dyDescent="0.2">
      <c r="A45" s="1">
        <v>44</v>
      </c>
      <c r="B45" s="3">
        <v>2129.1540770628576</v>
      </c>
      <c r="C45" s="3">
        <v>136567.75958605955</v>
      </c>
    </row>
    <row r="46" spans="1:3" x14ac:dyDescent="0.2">
      <c r="A46" s="1">
        <v>45</v>
      </c>
      <c r="B46" s="3">
        <v>2316.4666260282847</v>
      </c>
      <c r="C46" s="3">
        <v>144780.51545754285</v>
      </c>
    </row>
    <row r="47" spans="1:3" x14ac:dyDescent="0.2">
      <c r="A47" s="1">
        <v>46</v>
      </c>
      <c r="B47" s="3">
        <v>2521.2190864617055</v>
      </c>
      <c r="C47" s="3">
        <v>150340.90068911403</v>
      </c>
    </row>
    <row r="48" spans="1:3" x14ac:dyDescent="0.2">
      <c r="A48" s="1">
        <v>47</v>
      </c>
      <c r="B48" s="3">
        <v>2786.344256289467</v>
      </c>
      <c r="C48" s="3">
        <v>156581.3265873495</v>
      </c>
    </row>
    <row r="49" spans="1:3" x14ac:dyDescent="0.2">
      <c r="A49" s="1">
        <v>48</v>
      </c>
      <c r="B49" s="3">
        <v>3054.4362677189547</v>
      </c>
      <c r="C49" s="3">
        <v>164650.33999437594</v>
      </c>
    </row>
    <row r="50" spans="1:3" x14ac:dyDescent="0.2">
      <c r="A50" s="1">
        <v>49</v>
      </c>
      <c r="B50" s="3">
        <v>3360.3926309840167</v>
      </c>
      <c r="C50" s="3">
        <v>173053.55617091284</v>
      </c>
    </row>
    <row r="51" spans="1:3" x14ac:dyDescent="0.2">
      <c r="A51" s="1">
        <v>50</v>
      </c>
      <c r="B51" s="3">
        <v>3740.297559909201</v>
      </c>
      <c r="C51" s="3">
        <v>183318.35950427907</v>
      </c>
    </row>
    <row r="52" spans="1:3" x14ac:dyDescent="0.2">
      <c r="A52" s="1">
        <v>51</v>
      </c>
      <c r="B52" s="3">
        <v>4076.8369642843263</v>
      </c>
      <c r="C52" s="3">
        <v>188148.07452812442</v>
      </c>
    </row>
    <row r="53" spans="1:3" x14ac:dyDescent="0.2">
      <c r="A53" s="1">
        <v>52</v>
      </c>
      <c r="B53" s="3">
        <v>4501.3716670190324</v>
      </c>
      <c r="C53" s="3">
        <v>195044.42162090403</v>
      </c>
    </row>
    <row r="54" spans="1:3" x14ac:dyDescent="0.2">
      <c r="A54" s="1">
        <v>53</v>
      </c>
      <c r="B54" s="3">
        <v>4893.1162312383121</v>
      </c>
      <c r="C54" s="3">
        <v>204064.84769826516</v>
      </c>
    </row>
    <row r="55" spans="1:3" x14ac:dyDescent="0.2">
      <c r="A55" s="1">
        <v>54</v>
      </c>
      <c r="B55" s="3">
        <v>5368.046699339372</v>
      </c>
      <c r="C55" s="3">
        <v>215324.70970102324</v>
      </c>
    </row>
    <row r="56" spans="1:3" x14ac:dyDescent="0.2">
      <c r="A56" s="1">
        <v>55</v>
      </c>
      <c r="B56" s="3">
        <v>5957.2304592084274</v>
      </c>
      <c r="C56" s="3">
        <v>224452.046762229</v>
      </c>
    </row>
    <row r="57" spans="1:3" x14ac:dyDescent="0.2">
      <c r="A57" s="1">
        <v>56</v>
      </c>
      <c r="B57" s="3" t="s">
        <v>4</v>
      </c>
      <c r="C57" s="3">
        <v>234369.89022497481</v>
      </c>
    </row>
    <row r="58" spans="1:3" x14ac:dyDescent="0.2">
      <c r="A58" s="1">
        <v>57</v>
      </c>
      <c r="B58" s="3" t="s">
        <v>4</v>
      </c>
      <c r="C58" s="3">
        <v>239001.87600154657</v>
      </c>
    </row>
    <row r="59" spans="1:3" x14ac:dyDescent="0.2">
      <c r="A59" s="1">
        <v>58</v>
      </c>
      <c r="B59" s="3" t="s">
        <v>4</v>
      </c>
      <c r="C59" s="3">
        <v>253176.58750751961</v>
      </c>
    </row>
    <row r="60" spans="1:3" x14ac:dyDescent="0.2">
      <c r="A60" s="1">
        <v>59</v>
      </c>
      <c r="B60" s="3" t="s">
        <v>4</v>
      </c>
      <c r="C60" s="3">
        <v>263790.61347362585</v>
      </c>
    </row>
    <row r="61" spans="1:3" x14ac:dyDescent="0.2">
      <c r="A61" s="1">
        <v>60</v>
      </c>
      <c r="B61" s="3" t="s">
        <v>4</v>
      </c>
      <c r="C61" s="3">
        <v>270187.86398540868</v>
      </c>
    </row>
    <row r="62" spans="1:3" x14ac:dyDescent="0.2">
      <c r="A62" s="1">
        <v>61</v>
      </c>
      <c r="B62" s="3" t="s">
        <v>4</v>
      </c>
      <c r="C62" s="3">
        <v>279469.65057809284</v>
      </c>
    </row>
    <row r="63" spans="1:3" x14ac:dyDescent="0.2">
      <c r="A63" s="1">
        <v>62</v>
      </c>
      <c r="B63" s="3" t="s">
        <v>4</v>
      </c>
      <c r="C63" s="3">
        <v>293160.00221181777</v>
      </c>
    </row>
    <row r="64" spans="1:3" x14ac:dyDescent="0.2">
      <c r="A64" s="1">
        <v>63</v>
      </c>
      <c r="B64" s="3" t="s">
        <v>4</v>
      </c>
      <c r="C64" s="3">
        <v>304734.87505852437</v>
      </c>
    </row>
    <row r="65" spans="1:3" x14ac:dyDescent="0.2">
      <c r="A65" s="1">
        <v>64</v>
      </c>
      <c r="B65" s="3" t="s">
        <v>4</v>
      </c>
      <c r="C65" s="3">
        <v>314419.66072845121</v>
      </c>
    </row>
    <row r="66" spans="1:3" x14ac:dyDescent="0.2">
      <c r="A66" s="1">
        <v>65</v>
      </c>
      <c r="B66" s="3" t="s">
        <v>4</v>
      </c>
      <c r="C66" s="3">
        <v>325149.18100237794</v>
      </c>
    </row>
    <row r="67" spans="1:3" x14ac:dyDescent="0.2">
      <c r="A67" s="1">
        <v>66</v>
      </c>
      <c r="B67" s="3" t="s">
        <v>4</v>
      </c>
      <c r="C67" s="3" t="s">
        <v>4</v>
      </c>
    </row>
    <row r="68" spans="1:3" x14ac:dyDescent="0.2">
      <c r="A68" s="1">
        <v>67</v>
      </c>
      <c r="B68" s="3" t="s">
        <v>4</v>
      </c>
      <c r="C68" s="3" t="s">
        <v>4</v>
      </c>
    </row>
    <row r="69" spans="1:3" x14ac:dyDescent="0.2">
      <c r="A69" s="1">
        <v>68</v>
      </c>
      <c r="B69" s="3" t="s">
        <v>4</v>
      </c>
      <c r="C69" s="3" t="s">
        <v>4</v>
      </c>
    </row>
    <row r="70" spans="1:3" x14ac:dyDescent="0.2">
      <c r="A70" s="1">
        <v>69</v>
      </c>
      <c r="B70" s="3" t="s">
        <v>4</v>
      </c>
      <c r="C70" s="3" t="s">
        <v>4</v>
      </c>
    </row>
    <row r="71" spans="1:3" x14ac:dyDescent="0.2">
      <c r="A71" s="1">
        <v>70</v>
      </c>
      <c r="B71" s="3" t="s">
        <v>4</v>
      </c>
      <c r="C71" s="3" t="s">
        <v>4</v>
      </c>
    </row>
    <row r="72" spans="1:3" x14ac:dyDescent="0.2">
      <c r="A72" s="1">
        <v>71</v>
      </c>
      <c r="B72" s="3" t="s">
        <v>4</v>
      </c>
      <c r="C72" s="3" t="s">
        <v>4</v>
      </c>
    </row>
    <row r="73" spans="1:3" x14ac:dyDescent="0.2">
      <c r="A73" s="1">
        <v>72</v>
      </c>
      <c r="B73" s="3" t="s">
        <v>4</v>
      </c>
      <c r="C73" s="3" t="s">
        <v>4</v>
      </c>
    </row>
    <row r="74" spans="1:3" x14ac:dyDescent="0.2">
      <c r="A74" s="1">
        <v>73</v>
      </c>
      <c r="B74" s="3" t="s">
        <v>4</v>
      </c>
      <c r="C74" s="3" t="s">
        <v>4</v>
      </c>
    </row>
    <row r="75" spans="1:3" x14ac:dyDescent="0.2">
      <c r="A75" s="1">
        <v>74</v>
      </c>
      <c r="B75" s="3" t="s">
        <v>4</v>
      </c>
      <c r="C75" s="3" t="s">
        <v>4</v>
      </c>
    </row>
    <row r="76" spans="1:3" x14ac:dyDescent="0.2">
      <c r="A76" s="1">
        <v>75</v>
      </c>
      <c r="B76" s="3" t="s">
        <v>4</v>
      </c>
      <c r="C76" s="3" t="s">
        <v>4</v>
      </c>
    </row>
    <row r="77" spans="1:3" x14ac:dyDescent="0.2">
      <c r="A77" s="1">
        <v>76</v>
      </c>
      <c r="B77" s="3" t="s">
        <v>4</v>
      </c>
      <c r="C77" s="3" t="s">
        <v>4</v>
      </c>
    </row>
    <row r="78" spans="1:3" x14ac:dyDescent="0.2">
      <c r="A78" s="1">
        <v>77</v>
      </c>
      <c r="B78" s="3" t="s">
        <v>4</v>
      </c>
      <c r="C78" s="3" t="s">
        <v>4</v>
      </c>
    </row>
    <row r="79" spans="1:3" x14ac:dyDescent="0.2">
      <c r="A79" s="1">
        <v>78</v>
      </c>
      <c r="B79" s="3" t="s">
        <v>4</v>
      </c>
      <c r="C79" s="3" t="s">
        <v>4</v>
      </c>
    </row>
    <row r="80" spans="1:3" x14ac:dyDescent="0.2">
      <c r="A80" s="1">
        <v>79</v>
      </c>
      <c r="B80" s="3" t="s">
        <v>4</v>
      </c>
      <c r="C80" s="3" t="s">
        <v>4</v>
      </c>
    </row>
    <row r="81" spans="1:3" x14ac:dyDescent="0.2">
      <c r="A81" s="1">
        <v>80</v>
      </c>
      <c r="B81" s="3" t="s">
        <v>4</v>
      </c>
      <c r="C81" s="3" t="s">
        <v>4</v>
      </c>
    </row>
    <row r="82" spans="1:3" x14ac:dyDescent="0.2">
      <c r="A82" s="1">
        <v>81</v>
      </c>
      <c r="B82" s="3" t="s">
        <v>4</v>
      </c>
      <c r="C82" s="3" t="s">
        <v>4</v>
      </c>
    </row>
    <row r="83" spans="1:3" x14ac:dyDescent="0.2">
      <c r="A83" s="1">
        <v>82</v>
      </c>
      <c r="B83" s="3" t="s">
        <v>4</v>
      </c>
      <c r="C83" s="3" t="s">
        <v>4</v>
      </c>
    </row>
    <row r="84" spans="1:3" x14ac:dyDescent="0.2">
      <c r="A84" s="1">
        <v>83</v>
      </c>
      <c r="B84" s="3" t="s">
        <v>4</v>
      </c>
      <c r="C84" s="3" t="s">
        <v>4</v>
      </c>
    </row>
    <row r="85" spans="1:3" x14ac:dyDescent="0.2">
      <c r="A85" s="1">
        <v>84</v>
      </c>
      <c r="B85" s="3" t="s">
        <v>4</v>
      </c>
      <c r="C85" s="3" t="s">
        <v>4</v>
      </c>
    </row>
    <row r="86" spans="1:3" x14ac:dyDescent="0.2">
      <c r="A86" s="1">
        <v>85</v>
      </c>
      <c r="B86" s="3" t="s">
        <v>4</v>
      </c>
      <c r="C86" s="3" t="s">
        <v>4</v>
      </c>
    </row>
    <row r="87" spans="1:3" x14ac:dyDescent="0.2">
      <c r="A87" s="1">
        <v>86</v>
      </c>
      <c r="B87" s="3" t="s">
        <v>4</v>
      </c>
      <c r="C87" s="3" t="s">
        <v>4</v>
      </c>
    </row>
    <row r="88" spans="1:3" x14ac:dyDescent="0.2">
      <c r="A88" s="1">
        <v>87</v>
      </c>
      <c r="B88" s="3" t="s">
        <v>4</v>
      </c>
      <c r="C88" s="3" t="s">
        <v>4</v>
      </c>
    </row>
    <row r="89" spans="1:3" x14ac:dyDescent="0.2">
      <c r="A89" s="1">
        <v>88</v>
      </c>
      <c r="B89" s="3" t="s">
        <v>4</v>
      </c>
      <c r="C89" s="3" t="s">
        <v>4</v>
      </c>
    </row>
    <row r="90" spans="1:3" x14ac:dyDescent="0.2">
      <c r="A90" s="1">
        <v>89</v>
      </c>
      <c r="B90" s="3" t="s">
        <v>4</v>
      </c>
      <c r="C90" s="3" t="s">
        <v>4</v>
      </c>
    </row>
    <row r="91" spans="1:3" x14ac:dyDescent="0.2">
      <c r="A91" s="1">
        <v>90</v>
      </c>
      <c r="B91" s="3" t="s">
        <v>4</v>
      </c>
      <c r="C91" s="3" t="s">
        <v>4</v>
      </c>
    </row>
    <row r="92" spans="1:3" x14ac:dyDescent="0.2">
      <c r="A92" s="1">
        <v>91</v>
      </c>
      <c r="B92" s="3" t="s">
        <v>4</v>
      </c>
      <c r="C92" s="3" t="s">
        <v>4</v>
      </c>
    </row>
    <row r="93" spans="1:3" x14ac:dyDescent="0.2">
      <c r="A93" s="1">
        <v>92</v>
      </c>
      <c r="B93" s="3" t="s">
        <v>4</v>
      </c>
      <c r="C93" s="3" t="s">
        <v>4</v>
      </c>
    </row>
    <row r="94" spans="1:3" x14ac:dyDescent="0.2">
      <c r="A94" s="1">
        <v>93</v>
      </c>
      <c r="B94" s="3" t="s">
        <v>4</v>
      </c>
      <c r="C94" s="3" t="s">
        <v>4</v>
      </c>
    </row>
    <row r="95" spans="1:3" x14ac:dyDescent="0.2">
      <c r="A95" s="1">
        <v>94</v>
      </c>
      <c r="B95" s="3" t="s">
        <v>4</v>
      </c>
      <c r="C95" s="3" t="s">
        <v>4</v>
      </c>
    </row>
    <row r="96" spans="1:3" x14ac:dyDescent="0.2">
      <c r="A96" s="1">
        <v>95</v>
      </c>
      <c r="B96" s="3" t="s">
        <v>4</v>
      </c>
      <c r="C96" s="3" t="s">
        <v>4</v>
      </c>
    </row>
    <row r="97" spans="1:3" x14ac:dyDescent="0.2">
      <c r="A97" s="1">
        <v>96</v>
      </c>
      <c r="B97" s="3" t="s">
        <v>4</v>
      </c>
      <c r="C97" s="3" t="s">
        <v>4</v>
      </c>
    </row>
    <row r="98" spans="1:3" x14ac:dyDescent="0.2">
      <c r="A98" s="1">
        <v>97</v>
      </c>
      <c r="B98" s="3" t="s">
        <v>4</v>
      </c>
      <c r="C98" s="3" t="s">
        <v>4</v>
      </c>
    </row>
    <row r="99" spans="1:3" x14ac:dyDescent="0.2">
      <c r="A99" s="1">
        <v>98</v>
      </c>
      <c r="B99" s="3" t="s">
        <v>4</v>
      </c>
      <c r="C99" s="3" t="s">
        <v>4</v>
      </c>
    </row>
    <row r="100" spans="1:3" x14ac:dyDescent="0.2">
      <c r="A100" s="1">
        <v>99</v>
      </c>
      <c r="B100" s="3" t="s">
        <v>4</v>
      </c>
      <c r="C100" s="3" t="s">
        <v>4</v>
      </c>
    </row>
    <row r="101" spans="1:3" x14ac:dyDescent="0.2">
      <c r="A101" s="1">
        <v>100</v>
      </c>
      <c r="B101" s="3" t="s">
        <v>4</v>
      </c>
      <c r="C101" s="3" t="s">
        <v>4</v>
      </c>
    </row>
    <row r="102" spans="1:3" x14ac:dyDescent="0.2">
      <c r="A102" s="1">
        <v>101</v>
      </c>
      <c r="B102" s="3" t="s">
        <v>4</v>
      </c>
      <c r="C102" s="3" t="s">
        <v>4</v>
      </c>
    </row>
    <row r="103" spans="1:3" x14ac:dyDescent="0.2">
      <c r="A103" s="1">
        <v>102</v>
      </c>
      <c r="B103" s="3" t="s">
        <v>4</v>
      </c>
      <c r="C103" s="3" t="s">
        <v>4</v>
      </c>
    </row>
    <row r="104" spans="1:3" x14ac:dyDescent="0.2">
      <c r="A104" s="1">
        <v>103</v>
      </c>
      <c r="B104" s="3" t="s">
        <v>4</v>
      </c>
      <c r="C104" s="3" t="s">
        <v>4</v>
      </c>
    </row>
    <row r="105" spans="1:3" x14ac:dyDescent="0.2">
      <c r="A105" s="1">
        <v>104</v>
      </c>
      <c r="B105" s="3" t="s">
        <v>4</v>
      </c>
      <c r="C105" s="3" t="s">
        <v>4</v>
      </c>
    </row>
    <row r="106" spans="1:3" x14ac:dyDescent="0.2">
      <c r="A106" s="1">
        <v>105</v>
      </c>
      <c r="B106" s="3" t="s">
        <v>4</v>
      </c>
      <c r="C106" s="3" t="s">
        <v>4</v>
      </c>
    </row>
    <row r="107" spans="1:3" x14ac:dyDescent="0.2">
      <c r="A107" s="1">
        <v>106</v>
      </c>
      <c r="B107" s="3" t="s">
        <v>4</v>
      </c>
      <c r="C107" s="3" t="s">
        <v>4</v>
      </c>
    </row>
    <row r="108" spans="1:3" x14ac:dyDescent="0.2">
      <c r="A108" s="1">
        <v>107</v>
      </c>
      <c r="B108" s="3" t="s">
        <v>4</v>
      </c>
      <c r="C108" s="3" t="s">
        <v>4</v>
      </c>
    </row>
    <row r="109" spans="1:3" x14ac:dyDescent="0.2">
      <c r="A109" s="1">
        <v>108</v>
      </c>
      <c r="B109" s="3" t="s">
        <v>4</v>
      </c>
      <c r="C109" s="3" t="s">
        <v>4</v>
      </c>
    </row>
    <row r="110" spans="1:3" x14ac:dyDescent="0.2">
      <c r="A110" s="1">
        <v>109</v>
      </c>
      <c r="B110" s="3" t="s">
        <v>4</v>
      </c>
      <c r="C110" s="3" t="s">
        <v>4</v>
      </c>
    </row>
    <row r="111" spans="1:3" x14ac:dyDescent="0.2">
      <c r="A111" s="1">
        <v>110</v>
      </c>
      <c r="B111" s="3" t="s">
        <v>4</v>
      </c>
      <c r="C111" s="3" t="s">
        <v>4</v>
      </c>
    </row>
    <row r="112" spans="1:3" x14ac:dyDescent="0.2">
      <c r="A112" s="1">
        <v>111</v>
      </c>
      <c r="B112" s="3" t="s">
        <v>4</v>
      </c>
      <c r="C112" s="3" t="s">
        <v>4</v>
      </c>
    </row>
    <row r="113" spans="1:3" x14ac:dyDescent="0.2">
      <c r="A113" s="1">
        <v>112</v>
      </c>
      <c r="B113" s="3" t="s">
        <v>4</v>
      </c>
      <c r="C113" s="3" t="s">
        <v>4</v>
      </c>
    </row>
    <row r="114" spans="1:3" x14ac:dyDescent="0.2">
      <c r="A114" s="1">
        <v>113</v>
      </c>
      <c r="B114" s="3" t="s">
        <v>4</v>
      </c>
      <c r="C114" s="3" t="s">
        <v>4</v>
      </c>
    </row>
    <row r="115" spans="1:3" x14ac:dyDescent="0.2">
      <c r="A115" s="1">
        <v>114</v>
      </c>
      <c r="B115" s="3" t="s">
        <v>4</v>
      </c>
      <c r="C115" s="3" t="s">
        <v>4</v>
      </c>
    </row>
    <row r="116" spans="1:3" x14ac:dyDescent="0.2">
      <c r="A116" s="1">
        <v>115</v>
      </c>
      <c r="B116" s="3" t="s">
        <v>4</v>
      </c>
      <c r="C116" s="3" t="s">
        <v>4</v>
      </c>
    </row>
    <row r="117" spans="1:3" x14ac:dyDescent="0.2">
      <c r="A117" s="1">
        <v>116</v>
      </c>
      <c r="B117" s="3" t="s">
        <v>4</v>
      </c>
      <c r="C117" s="3" t="s">
        <v>4</v>
      </c>
    </row>
    <row r="118" spans="1:3" x14ac:dyDescent="0.2">
      <c r="A118" s="1">
        <v>117</v>
      </c>
      <c r="B118" s="3" t="s">
        <v>4</v>
      </c>
      <c r="C118" s="3" t="s">
        <v>4</v>
      </c>
    </row>
    <row r="119" spans="1:3" x14ac:dyDescent="0.2">
      <c r="A119" s="1">
        <v>118</v>
      </c>
      <c r="B119" s="3" t="s">
        <v>4</v>
      </c>
      <c r="C119" s="3" t="s">
        <v>4</v>
      </c>
    </row>
    <row r="120" spans="1:3" x14ac:dyDescent="0.2">
      <c r="A120" s="1">
        <v>119</v>
      </c>
      <c r="B120" s="3" t="s">
        <v>4</v>
      </c>
      <c r="C120" s="3" t="s">
        <v>4</v>
      </c>
    </row>
    <row r="121" spans="1:3" x14ac:dyDescent="0.2">
      <c r="A121" s="1">
        <v>120</v>
      </c>
      <c r="B121" s="3" t="s">
        <v>4</v>
      </c>
      <c r="C121" s="3" t="s">
        <v>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8AD129-9E65-EE49-AEC1-7200A0113764}">
  <sheetPr>
    <tabColor rgb="FFFFC000"/>
  </sheetPr>
  <dimension ref="A1"/>
  <sheetViews>
    <sheetView workbookViewId="0">
      <selection activeCell="I35" sqref="I35"/>
    </sheetView>
  </sheetViews>
  <sheetFormatPr baseColWidth="10" defaultRowHeight="16" x14ac:dyDescent="0.2"/>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CEC5D-70D3-7E41-A1E7-F8A8E44F20CD}">
  <dimension ref="A1:AX93"/>
  <sheetViews>
    <sheetView workbookViewId="0">
      <pane ySplit="3" topLeftCell="A4" activePane="bottomLeft" state="frozen"/>
      <selection pane="bottomLeft" activeCell="J32" sqref="J32"/>
    </sheetView>
  </sheetViews>
  <sheetFormatPr baseColWidth="10" defaultColWidth="9.83203125" defaultRowHeight="13" x14ac:dyDescent="0.15"/>
  <cols>
    <col min="1" max="6" width="9.83203125" style="5"/>
    <col min="7" max="7" width="11.5" style="5" customWidth="1"/>
    <col min="8" max="10" width="9.83203125" style="5"/>
    <col min="11" max="11" width="11.5" style="5" customWidth="1"/>
    <col min="12" max="17" width="9.83203125" style="5"/>
    <col min="18" max="18" width="5" style="5" customWidth="1"/>
    <col min="19" max="24" width="9.83203125" style="5"/>
    <col min="25" max="25" width="5" style="5" customWidth="1"/>
    <col min="26" max="29" width="9.83203125" style="5"/>
    <col min="30" max="30" width="5" style="5" customWidth="1"/>
    <col min="31" max="31" width="9.83203125" style="5"/>
    <col min="32" max="32" width="10.33203125" style="5" bestFit="1" customWidth="1"/>
    <col min="33" max="34" width="9.83203125" style="5"/>
    <col min="35" max="35" width="10.5" style="5" customWidth="1"/>
    <col min="36" max="38" width="9.83203125" style="5"/>
    <col min="39" max="39" width="10" style="5" bestFit="1" customWidth="1"/>
    <col min="40" max="40" width="11" style="5" bestFit="1" customWidth="1"/>
    <col min="41" max="262" width="9.83203125" style="5"/>
    <col min="263" max="263" width="11.5" style="5" customWidth="1"/>
    <col min="264" max="266" width="9.83203125" style="5"/>
    <col min="267" max="267" width="11.5" style="5" customWidth="1"/>
    <col min="268" max="273" width="9.83203125" style="5"/>
    <col min="274" max="274" width="5" style="5" customWidth="1"/>
    <col min="275" max="280" width="9.83203125" style="5"/>
    <col min="281" max="281" width="5" style="5" customWidth="1"/>
    <col min="282" max="285" width="9.83203125" style="5"/>
    <col min="286" max="286" width="5" style="5" customWidth="1"/>
    <col min="287" max="287" width="9.83203125" style="5"/>
    <col min="288" max="288" width="10.33203125" style="5" bestFit="1" customWidth="1"/>
    <col min="289" max="290" width="9.83203125" style="5"/>
    <col min="291" max="291" width="10.5" style="5" customWidth="1"/>
    <col min="292" max="294" width="9.83203125" style="5"/>
    <col min="295" max="295" width="10" style="5" bestFit="1" customWidth="1"/>
    <col min="296" max="296" width="11" style="5" bestFit="1" customWidth="1"/>
    <col min="297" max="518" width="9.83203125" style="5"/>
    <col min="519" max="519" width="11.5" style="5" customWidth="1"/>
    <col min="520" max="522" width="9.83203125" style="5"/>
    <col min="523" max="523" width="11.5" style="5" customWidth="1"/>
    <col min="524" max="529" width="9.83203125" style="5"/>
    <col min="530" max="530" width="5" style="5" customWidth="1"/>
    <col min="531" max="536" width="9.83203125" style="5"/>
    <col min="537" max="537" width="5" style="5" customWidth="1"/>
    <col min="538" max="541" width="9.83203125" style="5"/>
    <col min="542" max="542" width="5" style="5" customWidth="1"/>
    <col min="543" max="543" width="9.83203125" style="5"/>
    <col min="544" max="544" width="10.33203125" style="5" bestFit="1" customWidth="1"/>
    <col min="545" max="546" width="9.83203125" style="5"/>
    <col min="547" max="547" width="10.5" style="5" customWidth="1"/>
    <col min="548" max="550" width="9.83203125" style="5"/>
    <col min="551" max="551" width="10" style="5" bestFit="1" customWidth="1"/>
    <col min="552" max="552" width="11" style="5" bestFit="1" customWidth="1"/>
    <col min="553" max="774" width="9.83203125" style="5"/>
    <col min="775" max="775" width="11.5" style="5" customWidth="1"/>
    <col min="776" max="778" width="9.83203125" style="5"/>
    <col min="779" max="779" width="11.5" style="5" customWidth="1"/>
    <col min="780" max="785" width="9.83203125" style="5"/>
    <col min="786" max="786" width="5" style="5" customWidth="1"/>
    <col min="787" max="792" width="9.83203125" style="5"/>
    <col min="793" max="793" width="5" style="5" customWidth="1"/>
    <col min="794" max="797" width="9.83203125" style="5"/>
    <col min="798" max="798" width="5" style="5" customWidth="1"/>
    <col min="799" max="799" width="9.83203125" style="5"/>
    <col min="800" max="800" width="10.33203125" style="5" bestFit="1" customWidth="1"/>
    <col min="801" max="802" width="9.83203125" style="5"/>
    <col min="803" max="803" width="10.5" style="5" customWidth="1"/>
    <col min="804" max="806" width="9.83203125" style="5"/>
    <col min="807" max="807" width="10" style="5" bestFit="1" customWidth="1"/>
    <col min="808" max="808" width="11" style="5" bestFit="1" customWidth="1"/>
    <col min="809" max="1030" width="9.83203125" style="5"/>
    <col min="1031" max="1031" width="11.5" style="5" customWidth="1"/>
    <col min="1032" max="1034" width="9.83203125" style="5"/>
    <col min="1035" max="1035" width="11.5" style="5" customWidth="1"/>
    <col min="1036" max="1041" width="9.83203125" style="5"/>
    <col min="1042" max="1042" width="5" style="5" customWidth="1"/>
    <col min="1043" max="1048" width="9.83203125" style="5"/>
    <col min="1049" max="1049" width="5" style="5" customWidth="1"/>
    <col min="1050" max="1053" width="9.83203125" style="5"/>
    <col min="1054" max="1054" width="5" style="5" customWidth="1"/>
    <col min="1055" max="1055" width="9.83203125" style="5"/>
    <col min="1056" max="1056" width="10.33203125" style="5" bestFit="1" customWidth="1"/>
    <col min="1057" max="1058" width="9.83203125" style="5"/>
    <col min="1059" max="1059" width="10.5" style="5" customWidth="1"/>
    <col min="1060" max="1062" width="9.83203125" style="5"/>
    <col min="1063" max="1063" width="10" style="5" bestFit="1" customWidth="1"/>
    <col min="1064" max="1064" width="11" style="5" bestFit="1" customWidth="1"/>
    <col min="1065" max="1286" width="9.83203125" style="5"/>
    <col min="1287" max="1287" width="11.5" style="5" customWidth="1"/>
    <col min="1288" max="1290" width="9.83203125" style="5"/>
    <col min="1291" max="1291" width="11.5" style="5" customWidth="1"/>
    <col min="1292" max="1297" width="9.83203125" style="5"/>
    <col min="1298" max="1298" width="5" style="5" customWidth="1"/>
    <col min="1299" max="1304" width="9.83203125" style="5"/>
    <col min="1305" max="1305" width="5" style="5" customWidth="1"/>
    <col min="1306" max="1309" width="9.83203125" style="5"/>
    <col min="1310" max="1310" width="5" style="5" customWidth="1"/>
    <col min="1311" max="1311" width="9.83203125" style="5"/>
    <col min="1312" max="1312" width="10.33203125" style="5" bestFit="1" customWidth="1"/>
    <col min="1313" max="1314" width="9.83203125" style="5"/>
    <col min="1315" max="1315" width="10.5" style="5" customWidth="1"/>
    <col min="1316" max="1318" width="9.83203125" style="5"/>
    <col min="1319" max="1319" width="10" style="5" bestFit="1" customWidth="1"/>
    <col min="1320" max="1320" width="11" style="5" bestFit="1" customWidth="1"/>
    <col min="1321" max="1542" width="9.83203125" style="5"/>
    <col min="1543" max="1543" width="11.5" style="5" customWidth="1"/>
    <col min="1544" max="1546" width="9.83203125" style="5"/>
    <col min="1547" max="1547" width="11.5" style="5" customWidth="1"/>
    <col min="1548" max="1553" width="9.83203125" style="5"/>
    <col min="1554" max="1554" width="5" style="5" customWidth="1"/>
    <col min="1555" max="1560" width="9.83203125" style="5"/>
    <col min="1561" max="1561" width="5" style="5" customWidth="1"/>
    <col min="1562" max="1565" width="9.83203125" style="5"/>
    <col min="1566" max="1566" width="5" style="5" customWidth="1"/>
    <col min="1567" max="1567" width="9.83203125" style="5"/>
    <col min="1568" max="1568" width="10.33203125" style="5" bestFit="1" customWidth="1"/>
    <col min="1569" max="1570" width="9.83203125" style="5"/>
    <col min="1571" max="1571" width="10.5" style="5" customWidth="1"/>
    <col min="1572" max="1574" width="9.83203125" style="5"/>
    <col min="1575" max="1575" width="10" style="5" bestFit="1" customWidth="1"/>
    <col min="1576" max="1576" width="11" style="5" bestFit="1" customWidth="1"/>
    <col min="1577" max="1798" width="9.83203125" style="5"/>
    <col min="1799" max="1799" width="11.5" style="5" customWidth="1"/>
    <col min="1800" max="1802" width="9.83203125" style="5"/>
    <col min="1803" max="1803" width="11.5" style="5" customWidth="1"/>
    <col min="1804" max="1809" width="9.83203125" style="5"/>
    <col min="1810" max="1810" width="5" style="5" customWidth="1"/>
    <col min="1811" max="1816" width="9.83203125" style="5"/>
    <col min="1817" max="1817" width="5" style="5" customWidth="1"/>
    <col min="1818" max="1821" width="9.83203125" style="5"/>
    <col min="1822" max="1822" width="5" style="5" customWidth="1"/>
    <col min="1823" max="1823" width="9.83203125" style="5"/>
    <col min="1824" max="1824" width="10.33203125" style="5" bestFit="1" customWidth="1"/>
    <col min="1825" max="1826" width="9.83203125" style="5"/>
    <col min="1827" max="1827" width="10.5" style="5" customWidth="1"/>
    <col min="1828" max="1830" width="9.83203125" style="5"/>
    <col min="1831" max="1831" width="10" style="5" bestFit="1" customWidth="1"/>
    <col min="1832" max="1832" width="11" style="5" bestFit="1" customWidth="1"/>
    <col min="1833" max="2054" width="9.83203125" style="5"/>
    <col min="2055" max="2055" width="11.5" style="5" customWidth="1"/>
    <col min="2056" max="2058" width="9.83203125" style="5"/>
    <col min="2059" max="2059" width="11.5" style="5" customWidth="1"/>
    <col min="2060" max="2065" width="9.83203125" style="5"/>
    <col min="2066" max="2066" width="5" style="5" customWidth="1"/>
    <col min="2067" max="2072" width="9.83203125" style="5"/>
    <col min="2073" max="2073" width="5" style="5" customWidth="1"/>
    <col min="2074" max="2077" width="9.83203125" style="5"/>
    <col min="2078" max="2078" width="5" style="5" customWidth="1"/>
    <col min="2079" max="2079" width="9.83203125" style="5"/>
    <col min="2080" max="2080" width="10.33203125" style="5" bestFit="1" customWidth="1"/>
    <col min="2081" max="2082" width="9.83203125" style="5"/>
    <col min="2083" max="2083" width="10.5" style="5" customWidth="1"/>
    <col min="2084" max="2086" width="9.83203125" style="5"/>
    <col min="2087" max="2087" width="10" style="5" bestFit="1" customWidth="1"/>
    <col min="2088" max="2088" width="11" style="5" bestFit="1" customWidth="1"/>
    <col min="2089" max="2310" width="9.83203125" style="5"/>
    <col min="2311" max="2311" width="11.5" style="5" customWidth="1"/>
    <col min="2312" max="2314" width="9.83203125" style="5"/>
    <col min="2315" max="2315" width="11.5" style="5" customWidth="1"/>
    <col min="2316" max="2321" width="9.83203125" style="5"/>
    <col min="2322" max="2322" width="5" style="5" customWidth="1"/>
    <col min="2323" max="2328" width="9.83203125" style="5"/>
    <col min="2329" max="2329" width="5" style="5" customWidth="1"/>
    <col min="2330" max="2333" width="9.83203125" style="5"/>
    <col min="2334" max="2334" width="5" style="5" customWidth="1"/>
    <col min="2335" max="2335" width="9.83203125" style="5"/>
    <col min="2336" max="2336" width="10.33203125" style="5" bestFit="1" customWidth="1"/>
    <col min="2337" max="2338" width="9.83203125" style="5"/>
    <col min="2339" max="2339" width="10.5" style="5" customWidth="1"/>
    <col min="2340" max="2342" width="9.83203125" style="5"/>
    <col min="2343" max="2343" width="10" style="5" bestFit="1" customWidth="1"/>
    <col min="2344" max="2344" width="11" style="5" bestFit="1" customWidth="1"/>
    <col min="2345" max="2566" width="9.83203125" style="5"/>
    <col min="2567" max="2567" width="11.5" style="5" customWidth="1"/>
    <col min="2568" max="2570" width="9.83203125" style="5"/>
    <col min="2571" max="2571" width="11.5" style="5" customWidth="1"/>
    <col min="2572" max="2577" width="9.83203125" style="5"/>
    <col min="2578" max="2578" width="5" style="5" customWidth="1"/>
    <col min="2579" max="2584" width="9.83203125" style="5"/>
    <col min="2585" max="2585" width="5" style="5" customWidth="1"/>
    <col min="2586" max="2589" width="9.83203125" style="5"/>
    <col min="2590" max="2590" width="5" style="5" customWidth="1"/>
    <col min="2591" max="2591" width="9.83203125" style="5"/>
    <col min="2592" max="2592" width="10.33203125" style="5" bestFit="1" customWidth="1"/>
    <col min="2593" max="2594" width="9.83203125" style="5"/>
    <col min="2595" max="2595" width="10.5" style="5" customWidth="1"/>
    <col min="2596" max="2598" width="9.83203125" style="5"/>
    <col min="2599" max="2599" width="10" style="5" bestFit="1" customWidth="1"/>
    <col min="2600" max="2600" width="11" style="5" bestFit="1" customWidth="1"/>
    <col min="2601" max="2822" width="9.83203125" style="5"/>
    <col min="2823" max="2823" width="11.5" style="5" customWidth="1"/>
    <col min="2824" max="2826" width="9.83203125" style="5"/>
    <col min="2827" max="2827" width="11.5" style="5" customWidth="1"/>
    <col min="2828" max="2833" width="9.83203125" style="5"/>
    <col min="2834" max="2834" width="5" style="5" customWidth="1"/>
    <col min="2835" max="2840" width="9.83203125" style="5"/>
    <col min="2841" max="2841" width="5" style="5" customWidth="1"/>
    <col min="2842" max="2845" width="9.83203125" style="5"/>
    <col min="2846" max="2846" width="5" style="5" customWidth="1"/>
    <col min="2847" max="2847" width="9.83203125" style="5"/>
    <col min="2848" max="2848" width="10.33203125" style="5" bestFit="1" customWidth="1"/>
    <col min="2849" max="2850" width="9.83203125" style="5"/>
    <col min="2851" max="2851" width="10.5" style="5" customWidth="1"/>
    <col min="2852" max="2854" width="9.83203125" style="5"/>
    <col min="2855" max="2855" width="10" style="5" bestFit="1" customWidth="1"/>
    <col min="2856" max="2856" width="11" style="5" bestFit="1" customWidth="1"/>
    <col min="2857" max="3078" width="9.83203125" style="5"/>
    <col min="3079" max="3079" width="11.5" style="5" customWidth="1"/>
    <col min="3080" max="3082" width="9.83203125" style="5"/>
    <col min="3083" max="3083" width="11.5" style="5" customWidth="1"/>
    <col min="3084" max="3089" width="9.83203125" style="5"/>
    <col min="3090" max="3090" width="5" style="5" customWidth="1"/>
    <col min="3091" max="3096" width="9.83203125" style="5"/>
    <col min="3097" max="3097" width="5" style="5" customWidth="1"/>
    <col min="3098" max="3101" width="9.83203125" style="5"/>
    <col min="3102" max="3102" width="5" style="5" customWidth="1"/>
    <col min="3103" max="3103" width="9.83203125" style="5"/>
    <col min="3104" max="3104" width="10.33203125" style="5" bestFit="1" customWidth="1"/>
    <col min="3105" max="3106" width="9.83203125" style="5"/>
    <col min="3107" max="3107" width="10.5" style="5" customWidth="1"/>
    <col min="3108" max="3110" width="9.83203125" style="5"/>
    <col min="3111" max="3111" width="10" style="5" bestFit="1" customWidth="1"/>
    <col min="3112" max="3112" width="11" style="5" bestFit="1" customWidth="1"/>
    <col min="3113" max="3334" width="9.83203125" style="5"/>
    <col min="3335" max="3335" width="11.5" style="5" customWidth="1"/>
    <col min="3336" max="3338" width="9.83203125" style="5"/>
    <col min="3339" max="3339" width="11.5" style="5" customWidth="1"/>
    <col min="3340" max="3345" width="9.83203125" style="5"/>
    <col min="3346" max="3346" width="5" style="5" customWidth="1"/>
    <col min="3347" max="3352" width="9.83203125" style="5"/>
    <col min="3353" max="3353" width="5" style="5" customWidth="1"/>
    <col min="3354" max="3357" width="9.83203125" style="5"/>
    <col min="3358" max="3358" width="5" style="5" customWidth="1"/>
    <col min="3359" max="3359" width="9.83203125" style="5"/>
    <col min="3360" max="3360" width="10.33203125" style="5" bestFit="1" customWidth="1"/>
    <col min="3361" max="3362" width="9.83203125" style="5"/>
    <col min="3363" max="3363" width="10.5" style="5" customWidth="1"/>
    <col min="3364" max="3366" width="9.83203125" style="5"/>
    <col min="3367" max="3367" width="10" style="5" bestFit="1" customWidth="1"/>
    <col min="3368" max="3368" width="11" style="5" bestFit="1" customWidth="1"/>
    <col min="3369" max="3590" width="9.83203125" style="5"/>
    <col min="3591" max="3591" width="11.5" style="5" customWidth="1"/>
    <col min="3592" max="3594" width="9.83203125" style="5"/>
    <col min="3595" max="3595" width="11.5" style="5" customWidth="1"/>
    <col min="3596" max="3601" width="9.83203125" style="5"/>
    <col min="3602" max="3602" width="5" style="5" customWidth="1"/>
    <col min="3603" max="3608" width="9.83203125" style="5"/>
    <col min="3609" max="3609" width="5" style="5" customWidth="1"/>
    <col min="3610" max="3613" width="9.83203125" style="5"/>
    <col min="3614" max="3614" width="5" style="5" customWidth="1"/>
    <col min="3615" max="3615" width="9.83203125" style="5"/>
    <col min="3616" max="3616" width="10.33203125" style="5" bestFit="1" customWidth="1"/>
    <col min="3617" max="3618" width="9.83203125" style="5"/>
    <col min="3619" max="3619" width="10.5" style="5" customWidth="1"/>
    <col min="3620" max="3622" width="9.83203125" style="5"/>
    <col min="3623" max="3623" width="10" style="5" bestFit="1" customWidth="1"/>
    <col min="3624" max="3624" width="11" style="5" bestFit="1" customWidth="1"/>
    <col min="3625" max="3846" width="9.83203125" style="5"/>
    <col min="3847" max="3847" width="11.5" style="5" customWidth="1"/>
    <col min="3848" max="3850" width="9.83203125" style="5"/>
    <col min="3851" max="3851" width="11.5" style="5" customWidth="1"/>
    <col min="3852" max="3857" width="9.83203125" style="5"/>
    <col min="3858" max="3858" width="5" style="5" customWidth="1"/>
    <col min="3859" max="3864" width="9.83203125" style="5"/>
    <col min="3865" max="3865" width="5" style="5" customWidth="1"/>
    <col min="3866" max="3869" width="9.83203125" style="5"/>
    <col min="3870" max="3870" width="5" style="5" customWidth="1"/>
    <col min="3871" max="3871" width="9.83203125" style="5"/>
    <col min="3872" max="3872" width="10.33203125" style="5" bestFit="1" customWidth="1"/>
    <col min="3873" max="3874" width="9.83203125" style="5"/>
    <col min="3875" max="3875" width="10.5" style="5" customWidth="1"/>
    <col min="3876" max="3878" width="9.83203125" style="5"/>
    <col min="3879" max="3879" width="10" style="5" bestFit="1" customWidth="1"/>
    <col min="3880" max="3880" width="11" style="5" bestFit="1" customWidth="1"/>
    <col min="3881" max="4102" width="9.83203125" style="5"/>
    <col min="4103" max="4103" width="11.5" style="5" customWidth="1"/>
    <col min="4104" max="4106" width="9.83203125" style="5"/>
    <col min="4107" max="4107" width="11.5" style="5" customWidth="1"/>
    <col min="4108" max="4113" width="9.83203125" style="5"/>
    <col min="4114" max="4114" width="5" style="5" customWidth="1"/>
    <col min="4115" max="4120" width="9.83203125" style="5"/>
    <col min="4121" max="4121" width="5" style="5" customWidth="1"/>
    <col min="4122" max="4125" width="9.83203125" style="5"/>
    <col min="4126" max="4126" width="5" style="5" customWidth="1"/>
    <col min="4127" max="4127" width="9.83203125" style="5"/>
    <col min="4128" max="4128" width="10.33203125" style="5" bestFit="1" customWidth="1"/>
    <col min="4129" max="4130" width="9.83203125" style="5"/>
    <col min="4131" max="4131" width="10.5" style="5" customWidth="1"/>
    <col min="4132" max="4134" width="9.83203125" style="5"/>
    <col min="4135" max="4135" width="10" style="5" bestFit="1" customWidth="1"/>
    <col min="4136" max="4136" width="11" style="5" bestFit="1" customWidth="1"/>
    <col min="4137" max="4358" width="9.83203125" style="5"/>
    <col min="4359" max="4359" width="11.5" style="5" customWidth="1"/>
    <col min="4360" max="4362" width="9.83203125" style="5"/>
    <col min="4363" max="4363" width="11.5" style="5" customWidth="1"/>
    <col min="4364" max="4369" width="9.83203125" style="5"/>
    <col min="4370" max="4370" width="5" style="5" customWidth="1"/>
    <col min="4371" max="4376" width="9.83203125" style="5"/>
    <col min="4377" max="4377" width="5" style="5" customWidth="1"/>
    <col min="4378" max="4381" width="9.83203125" style="5"/>
    <col min="4382" max="4382" width="5" style="5" customWidth="1"/>
    <col min="4383" max="4383" width="9.83203125" style="5"/>
    <col min="4384" max="4384" width="10.33203125" style="5" bestFit="1" customWidth="1"/>
    <col min="4385" max="4386" width="9.83203125" style="5"/>
    <col min="4387" max="4387" width="10.5" style="5" customWidth="1"/>
    <col min="4388" max="4390" width="9.83203125" style="5"/>
    <col min="4391" max="4391" width="10" style="5" bestFit="1" customWidth="1"/>
    <col min="4392" max="4392" width="11" style="5" bestFit="1" customWidth="1"/>
    <col min="4393" max="4614" width="9.83203125" style="5"/>
    <col min="4615" max="4615" width="11.5" style="5" customWidth="1"/>
    <col min="4616" max="4618" width="9.83203125" style="5"/>
    <col min="4619" max="4619" width="11.5" style="5" customWidth="1"/>
    <col min="4620" max="4625" width="9.83203125" style="5"/>
    <col min="4626" max="4626" width="5" style="5" customWidth="1"/>
    <col min="4627" max="4632" width="9.83203125" style="5"/>
    <col min="4633" max="4633" width="5" style="5" customWidth="1"/>
    <col min="4634" max="4637" width="9.83203125" style="5"/>
    <col min="4638" max="4638" width="5" style="5" customWidth="1"/>
    <col min="4639" max="4639" width="9.83203125" style="5"/>
    <col min="4640" max="4640" width="10.33203125" style="5" bestFit="1" customWidth="1"/>
    <col min="4641" max="4642" width="9.83203125" style="5"/>
    <col min="4643" max="4643" width="10.5" style="5" customWidth="1"/>
    <col min="4644" max="4646" width="9.83203125" style="5"/>
    <col min="4647" max="4647" width="10" style="5" bestFit="1" customWidth="1"/>
    <col min="4648" max="4648" width="11" style="5" bestFit="1" customWidth="1"/>
    <col min="4649" max="4870" width="9.83203125" style="5"/>
    <col min="4871" max="4871" width="11.5" style="5" customWidth="1"/>
    <col min="4872" max="4874" width="9.83203125" style="5"/>
    <col min="4875" max="4875" width="11.5" style="5" customWidth="1"/>
    <col min="4876" max="4881" width="9.83203125" style="5"/>
    <col min="4882" max="4882" width="5" style="5" customWidth="1"/>
    <col min="4883" max="4888" width="9.83203125" style="5"/>
    <col min="4889" max="4889" width="5" style="5" customWidth="1"/>
    <col min="4890" max="4893" width="9.83203125" style="5"/>
    <col min="4894" max="4894" width="5" style="5" customWidth="1"/>
    <col min="4895" max="4895" width="9.83203125" style="5"/>
    <col min="4896" max="4896" width="10.33203125" style="5" bestFit="1" customWidth="1"/>
    <col min="4897" max="4898" width="9.83203125" style="5"/>
    <col min="4899" max="4899" width="10.5" style="5" customWidth="1"/>
    <col min="4900" max="4902" width="9.83203125" style="5"/>
    <col min="4903" max="4903" width="10" style="5" bestFit="1" customWidth="1"/>
    <col min="4904" max="4904" width="11" style="5" bestFit="1" customWidth="1"/>
    <col min="4905" max="5126" width="9.83203125" style="5"/>
    <col min="5127" max="5127" width="11.5" style="5" customWidth="1"/>
    <col min="5128" max="5130" width="9.83203125" style="5"/>
    <col min="5131" max="5131" width="11.5" style="5" customWidth="1"/>
    <col min="5132" max="5137" width="9.83203125" style="5"/>
    <col min="5138" max="5138" width="5" style="5" customWidth="1"/>
    <col min="5139" max="5144" width="9.83203125" style="5"/>
    <col min="5145" max="5145" width="5" style="5" customWidth="1"/>
    <col min="5146" max="5149" width="9.83203125" style="5"/>
    <col min="5150" max="5150" width="5" style="5" customWidth="1"/>
    <col min="5151" max="5151" width="9.83203125" style="5"/>
    <col min="5152" max="5152" width="10.33203125" style="5" bestFit="1" customWidth="1"/>
    <col min="5153" max="5154" width="9.83203125" style="5"/>
    <col min="5155" max="5155" width="10.5" style="5" customWidth="1"/>
    <col min="5156" max="5158" width="9.83203125" style="5"/>
    <col min="5159" max="5159" width="10" style="5" bestFit="1" customWidth="1"/>
    <col min="5160" max="5160" width="11" style="5" bestFit="1" customWidth="1"/>
    <col min="5161" max="5382" width="9.83203125" style="5"/>
    <col min="5383" max="5383" width="11.5" style="5" customWidth="1"/>
    <col min="5384" max="5386" width="9.83203125" style="5"/>
    <col min="5387" max="5387" width="11.5" style="5" customWidth="1"/>
    <col min="5388" max="5393" width="9.83203125" style="5"/>
    <col min="5394" max="5394" width="5" style="5" customWidth="1"/>
    <col min="5395" max="5400" width="9.83203125" style="5"/>
    <col min="5401" max="5401" width="5" style="5" customWidth="1"/>
    <col min="5402" max="5405" width="9.83203125" style="5"/>
    <col min="5406" max="5406" width="5" style="5" customWidth="1"/>
    <col min="5407" max="5407" width="9.83203125" style="5"/>
    <col min="5408" max="5408" width="10.33203125" style="5" bestFit="1" customWidth="1"/>
    <col min="5409" max="5410" width="9.83203125" style="5"/>
    <col min="5411" max="5411" width="10.5" style="5" customWidth="1"/>
    <col min="5412" max="5414" width="9.83203125" style="5"/>
    <col min="5415" max="5415" width="10" style="5" bestFit="1" customWidth="1"/>
    <col min="5416" max="5416" width="11" style="5" bestFit="1" customWidth="1"/>
    <col min="5417" max="5638" width="9.83203125" style="5"/>
    <col min="5639" max="5639" width="11.5" style="5" customWidth="1"/>
    <col min="5640" max="5642" width="9.83203125" style="5"/>
    <col min="5643" max="5643" width="11.5" style="5" customWidth="1"/>
    <col min="5644" max="5649" width="9.83203125" style="5"/>
    <col min="5650" max="5650" width="5" style="5" customWidth="1"/>
    <col min="5651" max="5656" width="9.83203125" style="5"/>
    <col min="5657" max="5657" width="5" style="5" customWidth="1"/>
    <col min="5658" max="5661" width="9.83203125" style="5"/>
    <col min="5662" max="5662" width="5" style="5" customWidth="1"/>
    <col min="5663" max="5663" width="9.83203125" style="5"/>
    <col min="5664" max="5664" width="10.33203125" style="5" bestFit="1" customWidth="1"/>
    <col min="5665" max="5666" width="9.83203125" style="5"/>
    <col min="5667" max="5667" width="10.5" style="5" customWidth="1"/>
    <col min="5668" max="5670" width="9.83203125" style="5"/>
    <col min="5671" max="5671" width="10" style="5" bestFit="1" customWidth="1"/>
    <col min="5672" max="5672" width="11" style="5" bestFit="1" customWidth="1"/>
    <col min="5673" max="5894" width="9.83203125" style="5"/>
    <col min="5895" max="5895" width="11.5" style="5" customWidth="1"/>
    <col min="5896" max="5898" width="9.83203125" style="5"/>
    <col min="5899" max="5899" width="11.5" style="5" customWidth="1"/>
    <col min="5900" max="5905" width="9.83203125" style="5"/>
    <col min="5906" max="5906" width="5" style="5" customWidth="1"/>
    <col min="5907" max="5912" width="9.83203125" style="5"/>
    <col min="5913" max="5913" width="5" style="5" customWidth="1"/>
    <col min="5914" max="5917" width="9.83203125" style="5"/>
    <col min="5918" max="5918" width="5" style="5" customWidth="1"/>
    <col min="5919" max="5919" width="9.83203125" style="5"/>
    <col min="5920" max="5920" width="10.33203125" style="5" bestFit="1" customWidth="1"/>
    <col min="5921" max="5922" width="9.83203125" style="5"/>
    <col min="5923" max="5923" width="10.5" style="5" customWidth="1"/>
    <col min="5924" max="5926" width="9.83203125" style="5"/>
    <col min="5927" max="5927" width="10" style="5" bestFit="1" customWidth="1"/>
    <col min="5928" max="5928" width="11" style="5" bestFit="1" customWidth="1"/>
    <col min="5929" max="6150" width="9.83203125" style="5"/>
    <col min="6151" max="6151" width="11.5" style="5" customWidth="1"/>
    <col min="6152" max="6154" width="9.83203125" style="5"/>
    <col min="6155" max="6155" width="11.5" style="5" customWidth="1"/>
    <col min="6156" max="6161" width="9.83203125" style="5"/>
    <col min="6162" max="6162" width="5" style="5" customWidth="1"/>
    <col min="6163" max="6168" width="9.83203125" style="5"/>
    <col min="6169" max="6169" width="5" style="5" customWidth="1"/>
    <col min="6170" max="6173" width="9.83203125" style="5"/>
    <col min="6174" max="6174" width="5" style="5" customWidth="1"/>
    <col min="6175" max="6175" width="9.83203125" style="5"/>
    <col min="6176" max="6176" width="10.33203125" style="5" bestFit="1" customWidth="1"/>
    <col min="6177" max="6178" width="9.83203125" style="5"/>
    <col min="6179" max="6179" width="10.5" style="5" customWidth="1"/>
    <col min="6180" max="6182" width="9.83203125" style="5"/>
    <col min="6183" max="6183" width="10" style="5" bestFit="1" customWidth="1"/>
    <col min="6184" max="6184" width="11" style="5" bestFit="1" customWidth="1"/>
    <col min="6185" max="6406" width="9.83203125" style="5"/>
    <col min="6407" max="6407" width="11.5" style="5" customWidth="1"/>
    <col min="6408" max="6410" width="9.83203125" style="5"/>
    <col min="6411" max="6411" width="11.5" style="5" customWidth="1"/>
    <col min="6412" max="6417" width="9.83203125" style="5"/>
    <col min="6418" max="6418" width="5" style="5" customWidth="1"/>
    <col min="6419" max="6424" width="9.83203125" style="5"/>
    <col min="6425" max="6425" width="5" style="5" customWidth="1"/>
    <col min="6426" max="6429" width="9.83203125" style="5"/>
    <col min="6430" max="6430" width="5" style="5" customWidth="1"/>
    <col min="6431" max="6431" width="9.83203125" style="5"/>
    <col min="6432" max="6432" width="10.33203125" style="5" bestFit="1" customWidth="1"/>
    <col min="6433" max="6434" width="9.83203125" style="5"/>
    <col min="6435" max="6435" width="10.5" style="5" customWidth="1"/>
    <col min="6436" max="6438" width="9.83203125" style="5"/>
    <col min="6439" max="6439" width="10" style="5" bestFit="1" customWidth="1"/>
    <col min="6440" max="6440" width="11" style="5" bestFit="1" customWidth="1"/>
    <col min="6441" max="6662" width="9.83203125" style="5"/>
    <col min="6663" max="6663" width="11.5" style="5" customWidth="1"/>
    <col min="6664" max="6666" width="9.83203125" style="5"/>
    <col min="6667" max="6667" width="11.5" style="5" customWidth="1"/>
    <col min="6668" max="6673" width="9.83203125" style="5"/>
    <col min="6674" max="6674" width="5" style="5" customWidth="1"/>
    <col min="6675" max="6680" width="9.83203125" style="5"/>
    <col min="6681" max="6681" width="5" style="5" customWidth="1"/>
    <col min="6682" max="6685" width="9.83203125" style="5"/>
    <col min="6686" max="6686" width="5" style="5" customWidth="1"/>
    <col min="6687" max="6687" width="9.83203125" style="5"/>
    <col min="6688" max="6688" width="10.33203125" style="5" bestFit="1" customWidth="1"/>
    <col min="6689" max="6690" width="9.83203125" style="5"/>
    <col min="6691" max="6691" width="10.5" style="5" customWidth="1"/>
    <col min="6692" max="6694" width="9.83203125" style="5"/>
    <col min="6695" max="6695" width="10" style="5" bestFit="1" customWidth="1"/>
    <col min="6696" max="6696" width="11" style="5" bestFit="1" customWidth="1"/>
    <col min="6697" max="6918" width="9.83203125" style="5"/>
    <col min="6919" max="6919" width="11.5" style="5" customWidth="1"/>
    <col min="6920" max="6922" width="9.83203125" style="5"/>
    <col min="6923" max="6923" width="11.5" style="5" customWidth="1"/>
    <col min="6924" max="6929" width="9.83203125" style="5"/>
    <col min="6930" max="6930" width="5" style="5" customWidth="1"/>
    <col min="6931" max="6936" width="9.83203125" style="5"/>
    <col min="6937" max="6937" width="5" style="5" customWidth="1"/>
    <col min="6938" max="6941" width="9.83203125" style="5"/>
    <col min="6942" max="6942" width="5" style="5" customWidth="1"/>
    <col min="6943" max="6943" width="9.83203125" style="5"/>
    <col min="6944" max="6944" width="10.33203125" style="5" bestFit="1" customWidth="1"/>
    <col min="6945" max="6946" width="9.83203125" style="5"/>
    <col min="6947" max="6947" width="10.5" style="5" customWidth="1"/>
    <col min="6948" max="6950" width="9.83203125" style="5"/>
    <col min="6951" max="6951" width="10" style="5" bestFit="1" customWidth="1"/>
    <col min="6952" max="6952" width="11" style="5" bestFit="1" customWidth="1"/>
    <col min="6953" max="7174" width="9.83203125" style="5"/>
    <col min="7175" max="7175" width="11.5" style="5" customWidth="1"/>
    <col min="7176" max="7178" width="9.83203125" style="5"/>
    <col min="7179" max="7179" width="11.5" style="5" customWidth="1"/>
    <col min="7180" max="7185" width="9.83203125" style="5"/>
    <col min="7186" max="7186" width="5" style="5" customWidth="1"/>
    <col min="7187" max="7192" width="9.83203125" style="5"/>
    <col min="7193" max="7193" width="5" style="5" customWidth="1"/>
    <col min="7194" max="7197" width="9.83203125" style="5"/>
    <col min="7198" max="7198" width="5" style="5" customWidth="1"/>
    <col min="7199" max="7199" width="9.83203125" style="5"/>
    <col min="7200" max="7200" width="10.33203125" style="5" bestFit="1" customWidth="1"/>
    <col min="7201" max="7202" width="9.83203125" style="5"/>
    <col min="7203" max="7203" width="10.5" style="5" customWidth="1"/>
    <col min="7204" max="7206" width="9.83203125" style="5"/>
    <col min="7207" max="7207" width="10" style="5" bestFit="1" customWidth="1"/>
    <col min="7208" max="7208" width="11" style="5" bestFit="1" customWidth="1"/>
    <col min="7209" max="7430" width="9.83203125" style="5"/>
    <col min="7431" max="7431" width="11.5" style="5" customWidth="1"/>
    <col min="7432" max="7434" width="9.83203125" style="5"/>
    <col min="7435" max="7435" width="11.5" style="5" customWidth="1"/>
    <col min="7436" max="7441" width="9.83203125" style="5"/>
    <col min="7442" max="7442" width="5" style="5" customWidth="1"/>
    <col min="7443" max="7448" width="9.83203125" style="5"/>
    <col min="7449" max="7449" width="5" style="5" customWidth="1"/>
    <col min="7450" max="7453" width="9.83203125" style="5"/>
    <col min="7454" max="7454" width="5" style="5" customWidth="1"/>
    <col min="7455" max="7455" width="9.83203125" style="5"/>
    <col min="7456" max="7456" width="10.33203125" style="5" bestFit="1" customWidth="1"/>
    <col min="7457" max="7458" width="9.83203125" style="5"/>
    <col min="7459" max="7459" width="10.5" style="5" customWidth="1"/>
    <col min="7460" max="7462" width="9.83203125" style="5"/>
    <col min="7463" max="7463" width="10" style="5" bestFit="1" customWidth="1"/>
    <col min="7464" max="7464" width="11" style="5" bestFit="1" customWidth="1"/>
    <col min="7465" max="7686" width="9.83203125" style="5"/>
    <col min="7687" max="7687" width="11.5" style="5" customWidth="1"/>
    <col min="7688" max="7690" width="9.83203125" style="5"/>
    <col min="7691" max="7691" width="11.5" style="5" customWidth="1"/>
    <col min="7692" max="7697" width="9.83203125" style="5"/>
    <col min="7698" max="7698" width="5" style="5" customWidth="1"/>
    <col min="7699" max="7704" width="9.83203125" style="5"/>
    <col min="7705" max="7705" width="5" style="5" customWidth="1"/>
    <col min="7706" max="7709" width="9.83203125" style="5"/>
    <col min="7710" max="7710" width="5" style="5" customWidth="1"/>
    <col min="7711" max="7711" width="9.83203125" style="5"/>
    <col min="7712" max="7712" width="10.33203125" style="5" bestFit="1" customWidth="1"/>
    <col min="7713" max="7714" width="9.83203125" style="5"/>
    <col min="7715" max="7715" width="10.5" style="5" customWidth="1"/>
    <col min="7716" max="7718" width="9.83203125" style="5"/>
    <col min="7719" max="7719" width="10" style="5" bestFit="1" customWidth="1"/>
    <col min="7720" max="7720" width="11" style="5" bestFit="1" customWidth="1"/>
    <col min="7721" max="7942" width="9.83203125" style="5"/>
    <col min="7943" max="7943" width="11.5" style="5" customWidth="1"/>
    <col min="7944" max="7946" width="9.83203125" style="5"/>
    <col min="7947" max="7947" width="11.5" style="5" customWidth="1"/>
    <col min="7948" max="7953" width="9.83203125" style="5"/>
    <col min="7954" max="7954" width="5" style="5" customWidth="1"/>
    <col min="7955" max="7960" width="9.83203125" style="5"/>
    <col min="7961" max="7961" width="5" style="5" customWidth="1"/>
    <col min="7962" max="7965" width="9.83203125" style="5"/>
    <col min="7966" max="7966" width="5" style="5" customWidth="1"/>
    <col min="7967" max="7967" width="9.83203125" style="5"/>
    <col min="7968" max="7968" width="10.33203125" style="5" bestFit="1" customWidth="1"/>
    <col min="7969" max="7970" width="9.83203125" style="5"/>
    <col min="7971" max="7971" width="10.5" style="5" customWidth="1"/>
    <col min="7972" max="7974" width="9.83203125" style="5"/>
    <col min="7975" max="7975" width="10" style="5" bestFit="1" customWidth="1"/>
    <col min="7976" max="7976" width="11" style="5" bestFit="1" customWidth="1"/>
    <col min="7977" max="8198" width="9.83203125" style="5"/>
    <col min="8199" max="8199" width="11.5" style="5" customWidth="1"/>
    <col min="8200" max="8202" width="9.83203125" style="5"/>
    <col min="8203" max="8203" width="11.5" style="5" customWidth="1"/>
    <col min="8204" max="8209" width="9.83203125" style="5"/>
    <col min="8210" max="8210" width="5" style="5" customWidth="1"/>
    <col min="8211" max="8216" width="9.83203125" style="5"/>
    <col min="8217" max="8217" width="5" style="5" customWidth="1"/>
    <col min="8218" max="8221" width="9.83203125" style="5"/>
    <col min="8222" max="8222" width="5" style="5" customWidth="1"/>
    <col min="8223" max="8223" width="9.83203125" style="5"/>
    <col min="8224" max="8224" width="10.33203125" style="5" bestFit="1" customWidth="1"/>
    <col min="8225" max="8226" width="9.83203125" style="5"/>
    <col min="8227" max="8227" width="10.5" style="5" customWidth="1"/>
    <col min="8228" max="8230" width="9.83203125" style="5"/>
    <col min="8231" max="8231" width="10" style="5" bestFit="1" customWidth="1"/>
    <col min="8232" max="8232" width="11" style="5" bestFit="1" customWidth="1"/>
    <col min="8233" max="8454" width="9.83203125" style="5"/>
    <col min="8455" max="8455" width="11.5" style="5" customWidth="1"/>
    <col min="8456" max="8458" width="9.83203125" style="5"/>
    <col min="8459" max="8459" width="11.5" style="5" customWidth="1"/>
    <col min="8460" max="8465" width="9.83203125" style="5"/>
    <col min="8466" max="8466" width="5" style="5" customWidth="1"/>
    <col min="8467" max="8472" width="9.83203125" style="5"/>
    <col min="8473" max="8473" width="5" style="5" customWidth="1"/>
    <col min="8474" max="8477" width="9.83203125" style="5"/>
    <col min="8478" max="8478" width="5" style="5" customWidth="1"/>
    <col min="8479" max="8479" width="9.83203125" style="5"/>
    <col min="8480" max="8480" width="10.33203125" style="5" bestFit="1" customWidth="1"/>
    <col min="8481" max="8482" width="9.83203125" style="5"/>
    <col min="8483" max="8483" width="10.5" style="5" customWidth="1"/>
    <col min="8484" max="8486" width="9.83203125" style="5"/>
    <col min="8487" max="8487" width="10" style="5" bestFit="1" customWidth="1"/>
    <col min="8488" max="8488" width="11" style="5" bestFit="1" customWidth="1"/>
    <col min="8489" max="8710" width="9.83203125" style="5"/>
    <col min="8711" max="8711" width="11.5" style="5" customWidth="1"/>
    <col min="8712" max="8714" width="9.83203125" style="5"/>
    <col min="8715" max="8715" width="11.5" style="5" customWidth="1"/>
    <col min="8716" max="8721" width="9.83203125" style="5"/>
    <col min="8722" max="8722" width="5" style="5" customWidth="1"/>
    <col min="8723" max="8728" width="9.83203125" style="5"/>
    <col min="8729" max="8729" width="5" style="5" customWidth="1"/>
    <col min="8730" max="8733" width="9.83203125" style="5"/>
    <col min="8734" max="8734" width="5" style="5" customWidth="1"/>
    <col min="8735" max="8735" width="9.83203125" style="5"/>
    <col min="8736" max="8736" width="10.33203125" style="5" bestFit="1" customWidth="1"/>
    <col min="8737" max="8738" width="9.83203125" style="5"/>
    <col min="8739" max="8739" width="10.5" style="5" customWidth="1"/>
    <col min="8740" max="8742" width="9.83203125" style="5"/>
    <col min="8743" max="8743" width="10" style="5" bestFit="1" customWidth="1"/>
    <col min="8744" max="8744" width="11" style="5" bestFit="1" customWidth="1"/>
    <col min="8745" max="8966" width="9.83203125" style="5"/>
    <col min="8967" max="8967" width="11.5" style="5" customWidth="1"/>
    <col min="8968" max="8970" width="9.83203125" style="5"/>
    <col min="8971" max="8971" width="11.5" style="5" customWidth="1"/>
    <col min="8972" max="8977" width="9.83203125" style="5"/>
    <col min="8978" max="8978" width="5" style="5" customWidth="1"/>
    <col min="8979" max="8984" width="9.83203125" style="5"/>
    <col min="8985" max="8985" width="5" style="5" customWidth="1"/>
    <col min="8986" max="8989" width="9.83203125" style="5"/>
    <col min="8990" max="8990" width="5" style="5" customWidth="1"/>
    <col min="8991" max="8991" width="9.83203125" style="5"/>
    <col min="8992" max="8992" width="10.33203125" style="5" bestFit="1" customWidth="1"/>
    <col min="8993" max="8994" width="9.83203125" style="5"/>
    <col min="8995" max="8995" width="10.5" style="5" customWidth="1"/>
    <col min="8996" max="8998" width="9.83203125" style="5"/>
    <col min="8999" max="8999" width="10" style="5" bestFit="1" customWidth="1"/>
    <col min="9000" max="9000" width="11" style="5" bestFit="1" customWidth="1"/>
    <col min="9001" max="9222" width="9.83203125" style="5"/>
    <col min="9223" max="9223" width="11.5" style="5" customWidth="1"/>
    <col min="9224" max="9226" width="9.83203125" style="5"/>
    <col min="9227" max="9227" width="11.5" style="5" customWidth="1"/>
    <col min="9228" max="9233" width="9.83203125" style="5"/>
    <col min="9234" max="9234" width="5" style="5" customWidth="1"/>
    <col min="9235" max="9240" width="9.83203125" style="5"/>
    <col min="9241" max="9241" width="5" style="5" customWidth="1"/>
    <col min="9242" max="9245" width="9.83203125" style="5"/>
    <col min="9246" max="9246" width="5" style="5" customWidth="1"/>
    <col min="9247" max="9247" width="9.83203125" style="5"/>
    <col min="9248" max="9248" width="10.33203125" style="5" bestFit="1" customWidth="1"/>
    <col min="9249" max="9250" width="9.83203125" style="5"/>
    <col min="9251" max="9251" width="10.5" style="5" customWidth="1"/>
    <col min="9252" max="9254" width="9.83203125" style="5"/>
    <col min="9255" max="9255" width="10" style="5" bestFit="1" customWidth="1"/>
    <col min="9256" max="9256" width="11" style="5" bestFit="1" customWidth="1"/>
    <col min="9257" max="9478" width="9.83203125" style="5"/>
    <col min="9479" max="9479" width="11.5" style="5" customWidth="1"/>
    <col min="9480" max="9482" width="9.83203125" style="5"/>
    <col min="9483" max="9483" width="11.5" style="5" customWidth="1"/>
    <col min="9484" max="9489" width="9.83203125" style="5"/>
    <col min="9490" max="9490" width="5" style="5" customWidth="1"/>
    <col min="9491" max="9496" width="9.83203125" style="5"/>
    <col min="9497" max="9497" width="5" style="5" customWidth="1"/>
    <col min="9498" max="9501" width="9.83203125" style="5"/>
    <col min="9502" max="9502" width="5" style="5" customWidth="1"/>
    <col min="9503" max="9503" width="9.83203125" style="5"/>
    <col min="9504" max="9504" width="10.33203125" style="5" bestFit="1" customWidth="1"/>
    <col min="9505" max="9506" width="9.83203125" style="5"/>
    <col min="9507" max="9507" width="10.5" style="5" customWidth="1"/>
    <col min="9508" max="9510" width="9.83203125" style="5"/>
    <col min="9511" max="9511" width="10" style="5" bestFit="1" customWidth="1"/>
    <col min="9512" max="9512" width="11" style="5" bestFit="1" customWidth="1"/>
    <col min="9513" max="9734" width="9.83203125" style="5"/>
    <col min="9735" max="9735" width="11.5" style="5" customWidth="1"/>
    <col min="9736" max="9738" width="9.83203125" style="5"/>
    <col min="9739" max="9739" width="11.5" style="5" customWidth="1"/>
    <col min="9740" max="9745" width="9.83203125" style="5"/>
    <col min="9746" max="9746" width="5" style="5" customWidth="1"/>
    <col min="9747" max="9752" width="9.83203125" style="5"/>
    <col min="9753" max="9753" width="5" style="5" customWidth="1"/>
    <col min="9754" max="9757" width="9.83203125" style="5"/>
    <col min="9758" max="9758" width="5" style="5" customWidth="1"/>
    <col min="9759" max="9759" width="9.83203125" style="5"/>
    <col min="9760" max="9760" width="10.33203125" style="5" bestFit="1" customWidth="1"/>
    <col min="9761" max="9762" width="9.83203125" style="5"/>
    <col min="9763" max="9763" width="10.5" style="5" customWidth="1"/>
    <col min="9764" max="9766" width="9.83203125" style="5"/>
    <col min="9767" max="9767" width="10" style="5" bestFit="1" customWidth="1"/>
    <col min="9768" max="9768" width="11" style="5" bestFit="1" customWidth="1"/>
    <col min="9769" max="9990" width="9.83203125" style="5"/>
    <col min="9991" max="9991" width="11.5" style="5" customWidth="1"/>
    <col min="9992" max="9994" width="9.83203125" style="5"/>
    <col min="9995" max="9995" width="11.5" style="5" customWidth="1"/>
    <col min="9996" max="10001" width="9.83203125" style="5"/>
    <col min="10002" max="10002" width="5" style="5" customWidth="1"/>
    <col min="10003" max="10008" width="9.83203125" style="5"/>
    <col min="10009" max="10009" width="5" style="5" customWidth="1"/>
    <col min="10010" max="10013" width="9.83203125" style="5"/>
    <col min="10014" max="10014" width="5" style="5" customWidth="1"/>
    <col min="10015" max="10015" width="9.83203125" style="5"/>
    <col min="10016" max="10016" width="10.33203125" style="5" bestFit="1" customWidth="1"/>
    <col min="10017" max="10018" width="9.83203125" style="5"/>
    <col min="10019" max="10019" width="10.5" style="5" customWidth="1"/>
    <col min="10020" max="10022" width="9.83203125" style="5"/>
    <col min="10023" max="10023" width="10" style="5" bestFit="1" customWidth="1"/>
    <col min="10024" max="10024" width="11" style="5" bestFit="1" customWidth="1"/>
    <col min="10025" max="10246" width="9.83203125" style="5"/>
    <col min="10247" max="10247" width="11.5" style="5" customWidth="1"/>
    <col min="10248" max="10250" width="9.83203125" style="5"/>
    <col min="10251" max="10251" width="11.5" style="5" customWidth="1"/>
    <col min="10252" max="10257" width="9.83203125" style="5"/>
    <col min="10258" max="10258" width="5" style="5" customWidth="1"/>
    <col min="10259" max="10264" width="9.83203125" style="5"/>
    <col min="10265" max="10265" width="5" style="5" customWidth="1"/>
    <col min="10266" max="10269" width="9.83203125" style="5"/>
    <col min="10270" max="10270" width="5" style="5" customWidth="1"/>
    <col min="10271" max="10271" width="9.83203125" style="5"/>
    <col min="10272" max="10272" width="10.33203125" style="5" bestFit="1" customWidth="1"/>
    <col min="10273" max="10274" width="9.83203125" style="5"/>
    <col min="10275" max="10275" width="10.5" style="5" customWidth="1"/>
    <col min="10276" max="10278" width="9.83203125" style="5"/>
    <col min="10279" max="10279" width="10" style="5" bestFit="1" customWidth="1"/>
    <col min="10280" max="10280" width="11" style="5" bestFit="1" customWidth="1"/>
    <col min="10281" max="10502" width="9.83203125" style="5"/>
    <col min="10503" max="10503" width="11.5" style="5" customWidth="1"/>
    <col min="10504" max="10506" width="9.83203125" style="5"/>
    <col min="10507" max="10507" width="11.5" style="5" customWidth="1"/>
    <col min="10508" max="10513" width="9.83203125" style="5"/>
    <col min="10514" max="10514" width="5" style="5" customWidth="1"/>
    <col min="10515" max="10520" width="9.83203125" style="5"/>
    <col min="10521" max="10521" width="5" style="5" customWidth="1"/>
    <col min="10522" max="10525" width="9.83203125" style="5"/>
    <col min="10526" max="10526" width="5" style="5" customWidth="1"/>
    <col min="10527" max="10527" width="9.83203125" style="5"/>
    <col min="10528" max="10528" width="10.33203125" style="5" bestFit="1" customWidth="1"/>
    <col min="10529" max="10530" width="9.83203125" style="5"/>
    <col min="10531" max="10531" width="10.5" style="5" customWidth="1"/>
    <col min="10532" max="10534" width="9.83203125" style="5"/>
    <col min="10535" max="10535" width="10" style="5" bestFit="1" customWidth="1"/>
    <col min="10536" max="10536" width="11" style="5" bestFit="1" customWidth="1"/>
    <col min="10537" max="10758" width="9.83203125" style="5"/>
    <col min="10759" max="10759" width="11.5" style="5" customWidth="1"/>
    <col min="10760" max="10762" width="9.83203125" style="5"/>
    <col min="10763" max="10763" width="11.5" style="5" customWidth="1"/>
    <col min="10764" max="10769" width="9.83203125" style="5"/>
    <col min="10770" max="10770" width="5" style="5" customWidth="1"/>
    <col min="10771" max="10776" width="9.83203125" style="5"/>
    <col min="10777" max="10777" width="5" style="5" customWidth="1"/>
    <col min="10778" max="10781" width="9.83203125" style="5"/>
    <col min="10782" max="10782" width="5" style="5" customWidth="1"/>
    <col min="10783" max="10783" width="9.83203125" style="5"/>
    <col min="10784" max="10784" width="10.33203125" style="5" bestFit="1" customWidth="1"/>
    <col min="10785" max="10786" width="9.83203125" style="5"/>
    <col min="10787" max="10787" width="10.5" style="5" customWidth="1"/>
    <col min="10788" max="10790" width="9.83203125" style="5"/>
    <col min="10791" max="10791" width="10" style="5" bestFit="1" customWidth="1"/>
    <col min="10792" max="10792" width="11" style="5" bestFit="1" customWidth="1"/>
    <col min="10793" max="11014" width="9.83203125" style="5"/>
    <col min="11015" max="11015" width="11.5" style="5" customWidth="1"/>
    <col min="11016" max="11018" width="9.83203125" style="5"/>
    <col min="11019" max="11019" width="11.5" style="5" customWidth="1"/>
    <col min="11020" max="11025" width="9.83203125" style="5"/>
    <col min="11026" max="11026" width="5" style="5" customWidth="1"/>
    <col min="11027" max="11032" width="9.83203125" style="5"/>
    <col min="11033" max="11033" width="5" style="5" customWidth="1"/>
    <col min="11034" max="11037" width="9.83203125" style="5"/>
    <col min="11038" max="11038" width="5" style="5" customWidth="1"/>
    <col min="11039" max="11039" width="9.83203125" style="5"/>
    <col min="11040" max="11040" width="10.33203125" style="5" bestFit="1" customWidth="1"/>
    <col min="11041" max="11042" width="9.83203125" style="5"/>
    <col min="11043" max="11043" width="10.5" style="5" customWidth="1"/>
    <col min="11044" max="11046" width="9.83203125" style="5"/>
    <col min="11047" max="11047" width="10" style="5" bestFit="1" customWidth="1"/>
    <col min="11048" max="11048" width="11" style="5" bestFit="1" customWidth="1"/>
    <col min="11049" max="11270" width="9.83203125" style="5"/>
    <col min="11271" max="11271" width="11.5" style="5" customWidth="1"/>
    <col min="11272" max="11274" width="9.83203125" style="5"/>
    <col min="11275" max="11275" width="11.5" style="5" customWidth="1"/>
    <col min="11276" max="11281" width="9.83203125" style="5"/>
    <col min="11282" max="11282" width="5" style="5" customWidth="1"/>
    <col min="11283" max="11288" width="9.83203125" style="5"/>
    <col min="11289" max="11289" width="5" style="5" customWidth="1"/>
    <col min="11290" max="11293" width="9.83203125" style="5"/>
    <col min="11294" max="11294" width="5" style="5" customWidth="1"/>
    <col min="11295" max="11295" width="9.83203125" style="5"/>
    <col min="11296" max="11296" width="10.33203125" style="5" bestFit="1" customWidth="1"/>
    <col min="11297" max="11298" width="9.83203125" style="5"/>
    <col min="11299" max="11299" width="10.5" style="5" customWidth="1"/>
    <col min="11300" max="11302" width="9.83203125" style="5"/>
    <col min="11303" max="11303" width="10" style="5" bestFit="1" customWidth="1"/>
    <col min="11304" max="11304" width="11" style="5" bestFit="1" customWidth="1"/>
    <col min="11305" max="11526" width="9.83203125" style="5"/>
    <col min="11527" max="11527" width="11.5" style="5" customWidth="1"/>
    <col min="11528" max="11530" width="9.83203125" style="5"/>
    <col min="11531" max="11531" width="11.5" style="5" customWidth="1"/>
    <col min="11532" max="11537" width="9.83203125" style="5"/>
    <col min="11538" max="11538" width="5" style="5" customWidth="1"/>
    <col min="11539" max="11544" width="9.83203125" style="5"/>
    <col min="11545" max="11545" width="5" style="5" customWidth="1"/>
    <col min="11546" max="11549" width="9.83203125" style="5"/>
    <col min="11550" max="11550" width="5" style="5" customWidth="1"/>
    <col min="11551" max="11551" width="9.83203125" style="5"/>
    <col min="11552" max="11552" width="10.33203125" style="5" bestFit="1" customWidth="1"/>
    <col min="11553" max="11554" width="9.83203125" style="5"/>
    <col min="11555" max="11555" width="10.5" style="5" customWidth="1"/>
    <col min="11556" max="11558" width="9.83203125" style="5"/>
    <col min="11559" max="11559" width="10" style="5" bestFit="1" customWidth="1"/>
    <col min="11560" max="11560" width="11" style="5" bestFit="1" customWidth="1"/>
    <col min="11561" max="11782" width="9.83203125" style="5"/>
    <col min="11783" max="11783" width="11.5" style="5" customWidth="1"/>
    <col min="11784" max="11786" width="9.83203125" style="5"/>
    <col min="11787" max="11787" width="11.5" style="5" customWidth="1"/>
    <col min="11788" max="11793" width="9.83203125" style="5"/>
    <col min="11794" max="11794" width="5" style="5" customWidth="1"/>
    <col min="11795" max="11800" width="9.83203125" style="5"/>
    <col min="11801" max="11801" width="5" style="5" customWidth="1"/>
    <col min="11802" max="11805" width="9.83203125" style="5"/>
    <col min="11806" max="11806" width="5" style="5" customWidth="1"/>
    <col min="11807" max="11807" width="9.83203125" style="5"/>
    <col min="11808" max="11808" width="10.33203125" style="5" bestFit="1" customWidth="1"/>
    <col min="11809" max="11810" width="9.83203125" style="5"/>
    <col min="11811" max="11811" width="10.5" style="5" customWidth="1"/>
    <col min="11812" max="11814" width="9.83203125" style="5"/>
    <col min="11815" max="11815" width="10" style="5" bestFit="1" customWidth="1"/>
    <col min="11816" max="11816" width="11" style="5" bestFit="1" customWidth="1"/>
    <col min="11817" max="12038" width="9.83203125" style="5"/>
    <col min="12039" max="12039" width="11.5" style="5" customWidth="1"/>
    <col min="12040" max="12042" width="9.83203125" style="5"/>
    <col min="12043" max="12043" width="11.5" style="5" customWidth="1"/>
    <col min="12044" max="12049" width="9.83203125" style="5"/>
    <col min="12050" max="12050" width="5" style="5" customWidth="1"/>
    <col min="12051" max="12056" width="9.83203125" style="5"/>
    <col min="12057" max="12057" width="5" style="5" customWidth="1"/>
    <col min="12058" max="12061" width="9.83203125" style="5"/>
    <col min="12062" max="12062" width="5" style="5" customWidth="1"/>
    <col min="12063" max="12063" width="9.83203125" style="5"/>
    <col min="12064" max="12064" width="10.33203125" style="5" bestFit="1" customWidth="1"/>
    <col min="12065" max="12066" width="9.83203125" style="5"/>
    <col min="12067" max="12067" width="10.5" style="5" customWidth="1"/>
    <col min="12068" max="12070" width="9.83203125" style="5"/>
    <col min="12071" max="12071" width="10" style="5" bestFit="1" customWidth="1"/>
    <col min="12072" max="12072" width="11" style="5" bestFit="1" customWidth="1"/>
    <col min="12073" max="12294" width="9.83203125" style="5"/>
    <col min="12295" max="12295" width="11.5" style="5" customWidth="1"/>
    <col min="12296" max="12298" width="9.83203125" style="5"/>
    <col min="12299" max="12299" width="11.5" style="5" customWidth="1"/>
    <col min="12300" max="12305" width="9.83203125" style="5"/>
    <col min="12306" max="12306" width="5" style="5" customWidth="1"/>
    <col min="12307" max="12312" width="9.83203125" style="5"/>
    <col min="12313" max="12313" width="5" style="5" customWidth="1"/>
    <col min="12314" max="12317" width="9.83203125" style="5"/>
    <col min="12318" max="12318" width="5" style="5" customWidth="1"/>
    <col min="12319" max="12319" width="9.83203125" style="5"/>
    <col min="12320" max="12320" width="10.33203125" style="5" bestFit="1" customWidth="1"/>
    <col min="12321" max="12322" width="9.83203125" style="5"/>
    <col min="12323" max="12323" width="10.5" style="5" customWidth="1"/>
    <col min="12324" max="12326" width="9.83203125" style="5"/>
    <col min="12327" max="12327" width="10" style="5" bestFit="1" customWidth="1"/>
    <col min="12328" max="12328" width="11" style="5" bestFit="1" customWidth="1"/>
    <col min="12329" max="12550" width="9.83203125" style="5"/>
    <col min="12551" max="12551" width="11.5" style="5" customWidth="1"/>
    <col min="12552" max="12554" width="9.83203125" style="5"/>
    <col min="12555" max="12555" width="11.5" style="5" customWidth="1"/>
    <col min="12556" max="12561" width="9.83203125" style="5"/>
    <col min="12562" max="12562" width="5" style="5" customWidth="1"/>
    <col min="12563" max="12568" width="9.83203125" style="5"/>
    <col min="12569" max="12569" width="5" style="5" customWidth="1"/>
    <col min="12570" max="12573" width="9.83203125" style="5"/>
    <col min="12574" max="12574" width="5" style="5" customWidth="1"/>
    <col min="12575" max="12575" width="9.83203125" style="5"/>
    <col min="12576" max="12576" width="10.33203125" style="5" bestFit="1" customWidth="1"/>
    <col min="12577" max="12578" width="9.83203125" style="5"/>
    <col min="12579" max="12579" width="10.5" style="5" customWidth="1"/>
    <col min="12580" max="12582" width="9.83203125" style="5"/>
    <col min="12583" max="12583" width="10" style="5" bestFit="1" customWidth="1"/>
    <col min="12584" max="12584" width="11" style="5" bestFit="1" customWidth="1"/>
    <col min="12585" max="12806" width="9.83203125" style="5"/>
    <col min="12807" max="12807" width="11.5" style="5" customWidth="1"/>
    <col min="12808" max="12810" width="9.83203125" style="5"/>
    <col min="12811" max="12811" width="11.5" style="5" customWidth="1"/>
    <col min="12812" max="12817" width="9.83203125" style="5"/>
    <col min="12818" max="12818" width="5" style="5" customWidth="1"/>
    <col min="12819" max="12824" width="9.83203125" style="5"/>
    <col min="12825" max="12825" width="5" style="5" customWidth="1"/>
    <col min="12826" max="12829" width="9.83203125" style="5"/>
    <col min="12830" max="12830" width="5" style="5" customWidth="1"/>
    <col min="12831" max="12831" width="9.83203125" style="5"/>
    <col min="12832" max="12832" width="10.33203125" style="5" bestFit="1" customWidth="1"/>
    <col min="12833" max="12834" width="9.83203125" style="5"/>
    <col min="12835" max="12835" width="10.5" style="5" customWidth="1"/>
    <col min="12836" max="12838" width="9.83203125" style="5"/>
    <col min="12839" max="12839" width="10" style="5" bestFit="1" customWidth="1"/>
    <col min="12840" max="12840" width="11" style="5" bestFit="1" customWidth="1"/>
    <col min="12841" max="13062" width="9.83203125" style="5"/>
    <col min="13063" max="13063" width="11.5" style="5" customWidth="1"/>
    <col min="13064" max="13066" width="9.83203125" style="5"/>
    <col min="13067" max="13067" width="11.5" style="5" customWidth="1"/>
    <col min="13068" max="13073" width="9.83203125" style="5"/>
    <col min="13074" max="13074" width="5" style="5" customWidth="1"/>
    <col min="13075" max="13080" width="9.83203125" style="5"/>
    <col min="13081" max="13081" width="5" style="5" customWidth="1"/>
    <col min="13082" max="13085" width="9.83203125" style="5"/>
    <col min="13086" max="13086" width="5" style="5" customWidth="1"/>
    <col min="13087" max="13087" width="9.83203125" style="5"/>
    <col min="13088" max="13088" width="10.33203125" style="5" bestFit="1" customWidth="1"/>
    <col min="13089" max="13090" width="9.83203125" style="5"/>
    <col min="13091" max="13091" width="10.5" style="5" customWidth="1"/>
    <col min="13092" max="13094" width="9.83203125" style="5"/>
    <col min="13095" max="13095" width="10" style="5" bestFit="1" customWidth="1"/>
    <col min="13096" max="13096" width="11" style="5" bestFit="1" customWidth="1"/>
    <col min="13097" max="13318" width="9.83203125" style="5"/>
    <col min="13319" max="13319" width="11.5" style="5" customWidth="1"/>
    <col min="13320" max="13322" width="9.83203125" style="5"/>
    <col min="13323" max="13323" width="11.5" style="5" customWidth="1"/>
    <col min="13324" max="13329" width="9.83203125" style="5"/>
    <col min="13330" max="13330" width="5" style="5" customWidth="1"/>
    <col min="13331" max="13336" width="9.83203125" style="5"/>
    <col min="13337" max="13337" width="5" style="5" customWidth="1"/>
    <col min="13338" max="13341" width="9.83203125" style="5"/>
    <col min="13342" max="13342" width="5" style="5" customWidth="1"/>
    <col min="13343" max="13343" width="9.83203125" style="5"/>
    <col min="13344" max="13344" width="10.33203125" style="5" bestFit="1" customWidth="1"/>
    <col min="13345" max="13346" width="9.83203125" style="5"/>
    <col min="13347" max="13347" width="10.5" style="5" customWidth="1"/>
    <col min="13348" max="13350" width="9.83203125" style="5"/>
    <col min="13351" max="13351" width="10" style="5" bestFit="1" customWidth="1"/>
    <col min="13352" max="13352" width="11" style="5" bestFit="1" customWidth="1"/>
    <col min="13353" max="13574" width="9.83203125" style="5"/>
    <col min="13575" max="13575" width="11.5" style="5" customWidth="1"/>
    <col min="13576" max="13578" width="9.83203125" style="5"/>
    <col min="13579" max="13579" width="11.5" style="5" customWidth="1"/>
    <col min="13580" max="13585" width="9.83203125" style="5"/>
    <col min="13586" max="13586" width="5" style="5" customWidth="1"/>
    <col min="13587" max="13592" width="9.83203125" style="5"/>
    <col min="13593" max="13593" width="5" style="5" customWidth="1"/>
    <col min="13594" max="13597" width="9.83203125" style="5"/>
    <col min="13598" max="13598" width="5" style="5" customWidth="1"/>
    <col min="13599" max="13599" width="9.83203125" style="5"/>
    <col min="13600" max="13600" width="10.33203125" style="5" bestFit="1" customWidth="1"/>
    <col min="13601" max="13602" width="9.83203125" style="5"/>
    <col min="13603" max="13603" width="10.5" style="5" customWidth="1"/>
    <col min="13604" max="13606" width="9.83203125" style="5"/>
    <col min="13607" max="13607" width="10" style="5" bestFit="1" customWidth="1"/>
    <col min="13608" max="13608" width="11" style="5" bestFit="1" customWidth="1"/>
    <col min="13609" max="13830" width="9.83203125" style="5"/>
    <col min="13831" max="13831" width="11.5" style="5" customWidth="1"/>
    <col min="13832" max="13834" width="9.83203125" style="5"/>
    <col min="13835" max="13835" width="11.5" style="5" customWidth="1"/>
    <col min="13836" max="13841" width="9.83203125" style="5"/>
    <col min="13842" max="13842" width="5" style="5" customWidth="1"/>
    <col min="13843" max="13848" width="9.83203125" style="5"/>
    <col min="13849" max="13849" width="5" style="5" customWidth="1"/>
    <col min="13850" max="13853" width="9.83203125" style="5"/>
    <col min="13854" max="13854" width="5" style="5" customWidth="1"/>
    <col min="13855" max="13855" width="9.83203125" style="5"/>
    <col min="13856" max="13856" width="10.33203125" style="5" bestFit="1" customWidth="1"/>
    <col min="13857" max="13858" width="9.83203125" style="5"/>
    <col min="13859" max="13859" width="10.5" style="5" customWidth="1"/>
    <col min="13860" max="13862" width="9.83203125" style="5"/>
    <col min="13863" max="13863" width="10" style="5" bestFit="1" customWidth="1"/>
    <col min="13864" max="13864" width="11" style="5" bestFit="1" customWidth="1"/>
    <col min="13865" max="14086" width="9.83203125" style="5"/>
    <col min="14087" max="14087" width="11.5" style="5" customWidth="1"/>
    <col min="14088" max="14090" width="9.83203125" style="5"/>
    <col min="14091" max="14091" width="11.5" style="5" customWidth="1"/>
    <col min="14092" max="14097" width="9.83203125" style="5"/>
    <col min="14098" max="14098" width="5" style="5" customWidth="1"/>
    <col min="14099" max="14104" width="9.83203125" style="5"/>
    <col min="14105" max="14105" width="5" style="5" customWidth="1"/>
    <col min="14106" max="14109" width="9.83203125" style="5"/>
    <col min="14110" max="14110" width="5" style="5" customWidth="1"/>
    <col min="14111" max="14111" width="9.83203125" style="5"/>
    <col min="14112" max="14112" width="10.33203125" style="5" bestFit="1" customWidth="1"/>
    <col min="14113" max="14114" width="9.83203125" style="5"/>
    <col min="14115" max="14115" width="10.5" style="5" customWidth="1"/>
    <col min="14116" max="14118" width="9.83203125" style="5"/>
    <col min="14119" max="14119" width="10" style="5" bestFit="1" customWidth="1"/>
    <col min="14120" max="14120" width="11" style="5" bestFit="1" customWidth="1"/>
    <col min="14121" max="14342" width="9.83203125" style="5"/>
    <col min="14343" max="14343" width="11.5" style="5" customWidth="1"/>
    <col min="14344" max="14346" width="9.83203125" style="5"/>
    <col min="14347" max="14347" width="11.5" style="5" customWidth="1"/>
    <col min="14348" max="14353" width="9.83203125" style="5"/>
    <col min="14354" max="14354" width="5" style="5" customWidth="1"/>
    <col min="14355" max="14360" width="9.83203125" style="5"/>
    <col min="14361" max="14361" width="5" style="5" customWidth="1"/>
    <col min="14362" max="14365" width="9.83203125" style="5"/>
    <col min="14366" max="14366" width="5" style="5" customWidth="1"/>
    <col min="14367" max="14367" width="9.83203125" style="5"/>
    <col min="14368" max="14368" width="10.33203125" style="5" bestFit="1" customWidth="1"/>
    <col min="14369" max="14370" width="9.83203125" style="5"/>
    <col min="14371" max="14371" width="10.5" style="5" customWidth="1"/>
    <col min="14372" max="14374" width="9.83203125" style="5"/>
    <col min="14375" max="14375" width="10" style="5" bestFit="1" customWidth="1"/>
    <col min="14376" max="14376" width="11" style="5" bestFit="1" customWidth="1"/>
    <col min="14377" max="14598" width="9.83203125" style="5"/>
    <col min="14599" max="14599" width="11.5" style="5" customWidth="1"/>
    <col min="14600" max="14602" width="9.83203125" style="5"/>
    <col min="14603" max="14603" width="11.5" style="5" customWidth="1"/>
    <col min="14604" max="14609" width="9.83203125" style="5"/>
    <col min="14610" max="14610" width="5" style="5" customWidth="1"/>
    <col min="14611" max="14616" width="9.83203125" style="5"/>
    <col min="14617" max="14617" width="5" style="5" customWidth="1"/>
    <col min="14618" max="14621" width="9.83203125" style="5"/>
    <col min="14622" max="14622" width="5" style="5" customWidth="1"/>
    <col min="14623" max="14623" width="9.83203125" style="5"/>
    <col min="14624" max="14624" width="10.33203125" style="5" bestFit="1" customWidth="1"/>
    <col min="14625" max="14626" width="9.83203125" style="5"/>
    <col min="14627" max="14627" width="10.5" style="5" customWidth="1"/>
    <col min="14628" max="14630" width="9.83203125" style="5"/>
    <col min="14631" max="14631" width="10" style="5" bestFit="1" customWidth="1"/>
    <col min="14632" max="14632" width="11" style="5" bestFit="1" customWidth="1"/>
    <col min="14633" max="14854" width="9.83203125" style="5"/>
    <col min="14855" max="14855" width="11.5" style="5" customWidth="1"/>
    <col min="14856" max="14858" width="9.83203125" style="5"/>
    <col min="14859" max="14859" width="11.5" style="5" customWidth="1"/>
    <col min="14860" max="14865" width="9.83203125" style="5"/>
    <col min="14866" max="14866" width="5" style="5" customWidth="1"/>
    <col min="14867" max="14872" width="9.83203125" style="5"/>
    <col min="14873" max="14873" width="5" style="5" customWidth="1"/>
    <col min="14874" max="14877" width="9.83203125" style="5"/>
    <col min="14878" max="14878" width="5" style="5" customWidth="1"/>
    <col min="14879" max="14879" width="9.83203125" style="5"/>
    <col min="14880" max="14880" width="10.33203125" style="5" bestFit="1" customWidth="1"/>
    <col min="14881" max="14882" width="9.83203125" style="5"/>
    <col min="14883" max="14883" width="10.5" style="5" customWidth="1"/>
    <col min="14884" max="14886" width="9.83203125" style="5"/>
    <col min="14887" max="14887" width="10" style="5" bestFit="1" customWidth="1"/>
    <col min="14888" max="14888" width="11" style="5" bestFit="1" customWidth="1"/>
    <col min="14889" max="15110" width="9.83203125" style="5"/>
    <col min="15111" max="15111" width="11.5" style="5" customWidth="1"/>
    <col min="15112" max="15114" width="9.83203125" style="5"/>
    <col min="15115" max="15115" width="11.5" style="5" customWidth="1"/>
    <col min="15116" max="15121" width="9.83203125" style="5"/>
    <col min="15122" max="15122" width="5" style="5" customWidth="1"/>
    <col min="15123" max="15128" width="9.83203125" style="5"/>
    <col min="15129" max="15129" width="5" style="5" customWidth="1"/>
    <col min="15130" max="15133" width="9.83203125" style="5"/>
    <col min="15134" max="15134" width="5" style="5" customWidth="1"/>
    <col min="15135" max="15135" width="9.83203125" style="5"/>
    <col min="15136" max="15136" width="10.33203125" style="5" bestFit="1" customWidth="1"/>
    <col min="15137" max="15138" width="9.83203125" style="5"/>
    <col min="15139" max="15139" width="10.5" style="5" customWidth="1"/>
    <col min="15140" max="15142" width="9.83203125" style="5"/>
    <col min="15143" max="15143" width="10" style="5" bestFit="1" customWidth="1"/>
    <col min="15144" max="15144" width="11" style="5" bestFit="1" customWidth="1"/>
    <col min="15145" max="15366" width="9.83203125" style="5"/>
    <col min="15367" max="15367" width="11.5" style="5" customWidth="1"/>
    <col min="15368" max="15370" width="9.83203125" style="5"/>
    <col min="15371" max="15371" width="11.5" style="5" customWidth="1"/>
    <col min="15372" max="15377" width="9.83203125" style="5"/>
    <col min="15378" max="15378" width="5" style="5" customWidth="1"/>
    <col min="15379" max="15384" width="9.83203125" style="5"/>
    <col min="15385" max="15385" width="5" style="5" customWidth="1"/>
    <col min="15386" max="15389" width="9.83203125" style="5"/>
    <col min="15390" max="15390" width="5" style="5" customWidth="1"/>
    <col min="15391" max="15391" width="9.83203125" style="5"/>
    <col min="15392" max="15392" width="10.33203125" style="5" bestFit="1" customWidth="1"/>
    <col min="15393" max="15394" width="9.83203125" style="5"/>
    <col min="15395" max="15395" width="10.5" style="5" customWidth="1"/>
    <col min="15396" max="15398" width="9.83203125" style="5"/>
    <col min="15399" max="15399" width="10" style="5" bestFit="1" customWidth="1"/>
    <col min="15400" max="15400" width="11" style="5" bestFit="1" customWidth="1"/>
    <col min="15401" max="15622" width="9.83203125" style="5"/>
    <col min="15623" max="15623" width="11.5" style="5" customWidth="1"/>
    <col min="15624" max="15626" width="9.83203125" style="5"/>
    <col min="15627" max="15627" width="11.5" style="5" customWidth="1"/>
    <col min="15628" max="15633" width="9.83203125" style="5"/>
    <col min="15634" max="15634" width="5" style="5" customWidth="1"/>
    <col min="15635" max="15640" width="9.83203125" style="5"/>
    <col min="15641" max="15641" width="5" style="5" customWidth="1"/>
    <col min="15642" max="15645" width="9.83203125" style="5"/>
    <col min="15646" max="15646" width="5" style="5" customWidth="1"/>
    <col min="15647" max="15647" width="9.83203125" style="5"/>
    <col min="15648" max="15648" width="10.33203125" style="5" bestFit="1" customWidth="1"/>
    <col min="15649" max="15650" width="9.83203125" style="5"/>
    <col min="15651" max="15651" width="10.5" style="5" customWidth="1"/>
    <col min="15652" max="15654" width="9.83203125" style="5"/>
    <col min="15655" max="15655" width="10" style="5" bestFit="1" customWidth="1"/>
    <col min="15656" max="15656" width="11" style="5" bestFit="1" customWidth="1"/>
    <col min="15657" max="15878" width="9.83203125" style="5"/>
    <col min="15879" max="15879" width="11.5" style="5" customWidth="1"/>
    <col min="15880" max="15882" width="9.83203125" style="5"/>
    <col min="15883" max="15883" width="11.5" style="5" customWidth="1"/>
    <col min="15884" max="15889" width="9.83203125" style="5"/>
    <col min="15890" max="15890" width="5" style="5" customWidth="1"/>
    <col min="15891" max="15896" width="9.83203125" style="5"/>
    <col min="15897" max="15897" width="5" style="5" customWidth="1"/>
    <col min="15898" max="15901" width="9.83203125" style="5"/>
    <col min="15902" max="15902" width="5" style="5" customWidth="1"/>
    <col min="15903" max="15903" width="9.83203125" style="5"/>
    <col min="15904" max="15904" width="10.33203125" style="5" bestFit="1" customWidth="1"/>
    <col min="15905" max="15906" width="9.83203125" style="5"/>
    <col min="15907" max="15907" width="10.5" style="5" customWidth="1"/>
    <col min="15908" max="15910" width="9.83203125" style="5"/>
    <col min="15911" max="15911" width="10" style="5" bestFit="1" customWidth="1"/>
    <col min="15912" max="15912" width="11" style="5" bestFit="1" customWidth="1"/>
    <col min="15913" max="16134" width="9.83203125" style="5"/>
    <col min="16135" max="16135" width="11.5" style="5" customWidth="1"/>
    <col min="16136" max="16138" width="9.83203125" style="5"/>
    <col min="16139" max="16139" width="11.5" style="5" customWidth="1"/>
    <col min="16140" max="16145" width="9.83203125" style="5"/>
    <col min="16146" max="16146" width="5" style="5" customWidth="1"/>
    <col min="16147" max="16152" width="9.83203125" style="5"/>
    <col min="16153" max="16153" width="5" style="5" customWidth="1"/>
    <col min="16154" max="16157" width="9.83203125" style="5"/>
    <col min="16158" max="16158" width="5" style="5" customWidth="1"/>
    <col min="16159" max="16159" width="9.83203125" style="5"/>
    <col min="16160" max="16160" width="10.33203125" style="5" bestFit="1" customWidth="1"/>
    <col min="16161" max="16162" width="9.83203125" style="5"/>
    <col min="16163" max="16163" width="10.5" style="5" customWidth="1"/>
    <col min="16164" max="16166" width="9.83203125" style="5"/>
    <col min="16167" max="16167" width="10" style="5" bestFit="1" customWidth="1"/>
    <col min="16168" max="16168" width="11" style="5" bestFit="1" customWidth="1"/>
    <col min="16169" max="16384" width="9.83203125" style="5"/>
  </cols>
  <sheetData>
    <row r="1" spans="1:50" ht="16" x14ac:dyDescent="0.2">
      <c r="A1" s="4" t="s">
        <v>10</v>
      </c>
      <c r="AE1" s="91" t="s">
        <v>11</v>
      </c>
      <c r="AF1" s="91"/>
      <c r="AG1" s="91"/>
      <c r="AH1" s="91"/>
      <c r="AI1" s="91"/>
      <c r="AJ1" s="91"/>
      <c r="AK1" s="92"/>
      <c r="AL1" s="92"/>
      <c r="AM1" s="92"/>
      <c r="AN1" s="92"/>
      <c r="AT1" s="8">
        <v>0.04</v>
      </c>
      <c r="AU1" s="9">
        <f>AU$5+NPV($AT1,AU$6:AU$79)</f>
        <v>23.228889030244488</v>
      </c>
      <c r="AV1" s="10">
        <f>NPV($AT1,AV$5:AV$79)</f>
        <v>0.10658119114444208</v>
      </c>
      <c r="AW1" s="11">
        <f>0.85*AV1*1000/AU1</f>
        <v>3.900057913007398</v>
      </c>
    </row>
    <row r="2" spans="1:50" ht="16" x14ac:dyDescent="0.2">
      <c r="J2" s="12" t="s">
        <v>12</v>
      </c>
      <c r="K2" s="12"/>
      <c r="L2" s="12"/>
      <c r="M2" s="12"/>
      <c r="N2" s="12"/>
      <c r="O2" s="12"/>
      <c r="P2" s="12"/>
      <c r="Q2" s="12"/>
      <c r="S2" s="93" t="s">
        <v>13</v>
      </c>
      <c r="T2" s="93"/>
      <c r="U2" s="94"/>
      <c r="V2" s="94"/>
      <c r="W2" s="94"/>
      <c r="X2" s="95"/>
      <c r="Z2" s="96" t="s">
        <v>14</v>
      </c>
      <c r="AA2" s="96"/>
      <c r="AB2" s="96"/>
      <c r="AC2" s="96"/>
      <c r="AE2" s="7" t="s">
        <v>15</v>
      </c>
      <c r="AF2" s="7" t="s">
        <v>16</v>
      </c>
      <c r="AG2" s="7" t="s">
        <v>17</v>
      </c>
      <c r="AH2" s="7" t="s">
        <v>18</v>
      </c>
      <c r="AI2" s="7" t="s">
        <v>19</v>
      </c>
      <c r="AJ2" s="7"/>
      <c r="AK2" s="7" t="s">
        <v>20</v>
      </c>
      <c r="AL2" s="7" t="s">
        <v>21</v>
      </c>
      <c r="AM2" s="7" t="s">
        <v>22</v>
      </c>
      <c r="AN2" s="7" t="s">
        <v>23</v>
      </c>
      <c r="AO2" s="7" t="s">
        <v>24</v>
      </c>
      <c r="AT2" s="8">
        <v>0.06</v>
      </c>
      <c r="AU2" s="9">
        <f>AU$5+NPV($AT2,AU$6:AU$79)</f>
        <v>16.894481186447678</v>
      </c>
      <c r="AV2" s="10">
        <f>NPV($AT2,AV$5:AV$79)</f>
        <v>4.3708612087866326E-2</v>
      </c>
      <c r="AW2" s="11">
        <f>1.05*AV2*1000/(AU2-1)</f>
        <v>2.8874199889827725</v>
      </c>
    </row>
    <row r="3" spans="1:50" ht="43" x14ac:dyDescent="0.2">
      <c r="G3" s="5" t="s">
        <v>25</v>
      </c>
      <c r="H3" s="16">
        <v>369</v>
      </c>
      <c r="I3" s="7" t="s">
        <v>26</v>
      </c>
      <c r="J3" s="7" t="s">
        <v>27</v>
      </c>
      <c r="K3" s="7" t="s">
        <v>28</v>
      </c>
      <c r="L3" s="7" t="s">
        <v>29</v>
      </c>
      <c r="M3" s="17" t="s">
        <v>30</v>
      </c>
      <c r="N3" s="17" t="s">
        <v>31</v>
      </c>
      <c r="O3" s="17" t="s">
        <v>32</v>
      </c>
      <c r="P3" s="18" t="s">
        <v>33</v>
      </c>
      <c r="Q3" s="18" t="s">
        <v>34</v>
      </c>
      <c r="R3" s="17"/>
      <c r="S3" s="17" t="s">
        <v>35</v>
      </c>
      <c r="T3" s="17" t="s">
        <v>36</v>
      </c>
      <c r="U3" s="17" t="s">
        <v>37</v>
      </c>
      <c r="V3" s="17" t="s">
        <v>38</v>
      </c>
      <c r="W3" s="17" t="s">
        <v>39</v>
      </c>
      <c r="X3" s="17" t="s">
        <v>40</v>
      </c>
      <c r="Y3" s="17"/>
      <c r="Z3" s="17" t="s">
        <v>41</v>
      </c>
      <c r="AA3" s="17" t="s">
        <v>42</v>
      </c>
      <c r="AB3" s="17" t="s">
        <v>43</v>
      </c>
      <c r="AC3" s="17" t="s">
        <v>44</v>
      </c>
      <c r="AD3" s="17"/>
      <c r="AE3" s="19" t="s">
        <v>45</v>
      </c>
      <c r="AF3" s="19" t="s">
        <v>46</v>
      </c>
      <c r="AG3" s="19" t="s">
        <v>47</v>
      </c>
      <c r="AH3" s="19" t="s">
        <v>48</v>
      </c>
      <c r="AI3" s="19" t="s">
        <v>49</v>
      </c>
      <c r="AJ3" s="19" t="s">
        <v>50</v>
      </c>
      <c r="AK3" s="19" t="s">
        <v>51</v>
      </c>
      <c r="AL3" s="19" t="s">
        <v>52</v>
      </c>
      <c r="AM3" s="19" t="s">
        <v>53</v>
      </c>
      <c r="AN3" s="19" t="s">
        <v>54</v>
      </c>
      <c r="AO3" s="19" t="s">
        <v>55</v>
      </c>
      <c r="AP3" s="7"/>
      <c r="AT3" s="7" t="s">
        <v>26</v>
      </c>
      <c r="AU3" s="5" t="s">
        <v>56</v>
      </c>
      <c r="AV3" s="5" t="s">
        <v>38</v>
      </c>
      <c r="AW3" s="5" t="s">
        <v>34</v>
      </c>
      <c r="AX3" s="5" t="s">
        <v>57</v>
      </c>
    </row>
    <row r="4" spans="1:50" ht="16" x14ac:dyDescent="0.2">
      <c r="A4" s="14" t="s">
        <v>58</v>
      </c>
      <c r="B4" s="14"/>
      <c r="C4" s="14"/>
      <c r="D4" s="14"/>
      <c r="H4" s="7"/>
      <c r="I4" s="7">
        <v>0</v>
      </c>
      <c r="J4" s="20">
        <f>$H$3</f>
        <v>369</v>
      </c>
      <c r="K4" s="20">
        <f>J4*C16</f>
        <v>295.2</v>
      </c>
      <c r="L4" s="21">
        <f>C20</f>
        <v>200</v>
      </c>
      <c r="M4" s="20">
        <f t="shared" ref="M4:M67" si="0">$E$11</f>
        <v>50000</v>
      </c>
      <c r="N4" s="22">
        <f>AX4</f>
        <v>0</v>
      </c>
      <c r="O4" s="23">
        <f>AW4</f>
        <v>15.987</v>
      </c>
      <c r="P4" s="24">
        <f>M4*N4/1000</f>
        <v>0</v>
      </c>
      <c r="Q4" s="25">
        <f>M4*O4/1000</f>
        <v>799.35</v>
      </c>
      <c r="U4" s="26">
        <v>1</v>
      </c>
      <c r="V4" s="27"/>
      <c r="W4" s="27"/>
      <c r="X4" s="27">
        <f>U4-SUM(V4:W4)</f>
        <v>1</v>
      </c>
      <c r="Y4" s="8"/>
      <c r="Z4" s="28"/>
      <c r="AA4" s="28"/>
      <c r="AB4" s="28">
        <f>Q4*X4</f>
        <v>799.35</v>
      </c>
      <c r="AC4" s="28">
        <f t="shared" ref="AC4:AC67" si="1">$H$14*M4*X4</f>
        <v>500</v>
      </c>
      <c r="AD4" s="8"/>
      <c r="AE4" s="28">
        <f t="shared" ref="AE4:AE67" si="2">$X4*J4</f>
        <v>369</v>
      </c>
      <c r="AF4" s="28">
        <f t="shared" ref="AF4:AG35" si="3">-$X4*K4</f>
        <v>-295.2</v>
      </c>
      <c r="AG4" s="28">
        <f t="shared" si="3"/>
        <v>-200</v>
      </c>
      <c r="AH4" s="28"/>
      <c r="AI4" s="28"/>
      <c r="AJ4" s="28">
        <f>SUM(AE4:AI4)</f>
        <v>-126.19999999999999</v>
      </c>
      <c r="AK4" s="28">
        <f>Z4-AB4</f>
        <v>-799.35</v>
      </c>
      <c r="AL4" s="28"/>
      <c r="AM4" s="28">
        <f>SUM(AJ4:AL4)</f>
        <v>-925.55</v>
      </c>
      <c r="AN4" s="28">
        <f>AA4-AC4</f>
        <v>-500</v>
      </c>
      <c r="AO4" s="28">
        <f>SUM(AM4:AN4)</f>
        <v>-1425.55</v>
      </c>
      <c r="AQ4" s="29">
        <f>AM85</f>
        <v>380.43510207069471</v>
      </c>
      <c r="AT4" s="7">
        <v>0</v>
      </c>
      <c r="AU4" s="30">
        <v>1</v>
      </c>
      <c r="AV4" s="30">
        <v>0</v>
      </c>
      <c r="AW4" s="9">
        <f>ROUND((1000*NPV($AT$1,$AV5:$AV$79)-$AW$1*($AU5+NPV($AT$1,$AU6:$AU$79)))/AU5,3)</f>
        <v>15.987</v>
      </c>
      <c r="AX4" s="9">
        <f>ROUND(MAX(0,1000*NPV($AT$2,$AV5:$AV$79)-$AW$2*($AU5+NPV($AT$2,$AU6:$AU$79)))/AU5,3)</f>
        <v>0</v>
      </c>
    </row>
    <row r="5" spans="1:50" ht="16" x14ac:dyDescent="0.2">
      <c r="H5" s="31"/>
      <c r="I5" s="32">
        <f>I4+1</f>
        <v>1</v>
      </c>
      <c r="J5" s="20"/>
      <c r="K5" s="20"/>
      <c r="L5" s="21"/>
      <c r="M5" s="20">
        <f t="shared" si="0"/>
        <v>50000</v>
      </c>
      <c r="N5" s="22">
        <f t="shared" ref="N5:N68" si="4">AX5</f>
        <v>0</v>
      </c>
      <c r="O5" s="33">
        <f t="shared" ref="O5:O68" si="5">AW5</f>
        <v>20.231999999999999</v>
      </c>
      <c r="P5" s="24">
        <f t="shared" ref="P5:P68" si="6">M5*N5/1000</f>
        <v>0</v>
      </c>
      <c r="Q5" s="25">
        <f t="shared" ref="Q5:Q68" si="7">M5*O5/1000</f>
        <v>1011.6</v>
      </c>
      <c r="R5" s="33"/>
      <c r="S5" s="33">
        <v>0.46</v>
      </c>
      <c r="T5" s="34">
        <f>C10</f>
        <v>0</v>
      </c>
      <c r="U5" s="35">
        <f>X4</f>
        <v>1</v>
      </c>
      <c r="V5" s="35">
        <f>S5*U5/1000</f>
        <v>4.6000000000000001E-4</v>
      </c>
      <c r="W5" s="35">
        <f>MIN(T5*U5,U5-V5)</f>
        <v>0</v>
      </c>
      <c r="X5" s="27">
        <f>U5-SUM(V5:W5)</f>
        <v>0.99953999999999998</v>
      </c>
      <c r="Y5" s="36"/>
      <c r="Z5" s="28">
        <f>AB4</f>
        <v>799.35</v>
      </c>
      <c r="AA5" s="28">
        <f>AC4</f>
        <v>500</v>
      </c>
      <c r="AB5" s="28">
        <f>Q5*X5</f>
        <v>1011.134664</v>
      </c>
      <c r="AC5" s="28">
        <f t="shared" si="1"/>
        <v>499.77</v>
      </c>
      <c r="AD5" s="36"/>
      <c r="AE5" s="28">
        <f t="shared" si="2"/>
        <v>0</v>
      </c>
      <c r="AF5" s="28">
        <f t="shared" si="3"/>
        <v>0</v>
      </c>
      <c r="AG5" s="28">
        <f t="shared" si="3"/>
        <v>0</v>
      </c>
      <c r="AH5" s="28">
        <f>-M5*V5</f>
        <v>-23</v>
      </c>
      <c r="AI5" s="28">
        <f>-P5*W5</f>
        <v>0</v>
      </c>
      <c r="AJ5" s="28">
        <f t="shared" ref="AJ5:AJ68" si="8">SUM(AE5:AI5)</f>
        <v>-23</v>
      </c>
      <c r="AK5" s="28">
        <f t="shared" ref="AK5:AK68" si="9">Z5-AB5</f>
        <v>-211.78466400000002</v>
      </c>
      <c r="AL5" s="28">
        <f>$D$6*SUM(Z5:AA5,AE5:AF5)</f>
        <v>71.464249999999993</v>
      </c>
      <c r="AM5" s="28">
        <f t="shared" ref="AM5:AM68" si="10">SUM(AJ5:AL5)</f>
        <v>-163.32041400000003</v>
      </c>
      <c r="AN5" s="28">
        <f t="shared" ref="AN5:AN68" si="11">AA5-AC5</f>
        <v>0.23000000000001819</v>
      </c>
      <c r="AO5" s="28">
        <f t="shared" ref="AO5:AO68" si="12">SUM(AM5:AN5)</f>
        <v>-163.09041400000001</v>
      </c>
      <c r="AP5" s="5" t="s">
        <v>59</v>
      </c>
      <c r="AQ5" s="28"/>
      <c r="AT5" s="32">
        <f>AT4+1</f>
        <v>1</v>
      </c>
      <c r="AU5" s="30">
        <v>1</v>
      </c>
      <c r="AV5" s="30">
        <f t="shared" ref="AV5:AV68" si="13">S5*AU5/1000</f>
        <v>4.6000000000000001E-4</v>
      </c>
      <c r="AW5" s="9">
        <f>ROUND((1000*NPV($AT$1,$AV6:$AV$79)-$AW$1*($AU6+NPV($AT$1,$AU7:$AU$79)))/AU6,3)</f>
        <v>20.231999999999999</v>
      </c>
      <c r="AX5" s="9">
        <f>ROUND(MAX(0,1000*NPV($AT$2,$AV6:$AV$79)-$AW$2*($AU6+NPV($AT$2,$AU7:$AU$79)))/AU6,3)</f>
        <v>0</v>
      </c>
    </row>
    <row r="6" spans="1:50" ht="16" x14ac:dyDescent="0.2">
      <c r="A6" s="37" t="s">
        <v>60</v>
      </c>
      <c r="B6" s="37"/>
      <c r="C6" s="37"/>
      <c r="D6" s="38">
        <v>5.5E-2</v>
      </c>
      <c r="E6" s="39"/>
      <c r="F6" s="39"/>
      <c r="G6" s="39"/>
      <c r="H6" s="31"/>
      <c r="I6" s="32">
        <f t="shared" ref="I6:I69" si="14">I5+1</f>
        <v>2</v>
      </c>
      <c r="J6" s="20">
        <f t="shared" ref="J6:J69" si="15">$H$3</f>
        <v>369</v>
      </c>
      <c r="K6" s="20">
        <f t="shared" ref="K6:K69" si="16">J6*$C$17</f>
        <v>18.45</v>
      </c>
      <c r="L6" s="21">
        <f t="shared" ref="L6:L69" si="17">$C$21</f>
        <v>25</v>
      </c>
      <c r="M6" s="20">
        <f t="shared" si="0"/>
        <v>50000</v>
      </c>
      <c r="N6" s="22">
        <f t="shared" si="4"/>
        <v>0</v>
      </c>
      <c r="O6" s="33">
        <f t="shared" si="5"/>
        <v>24.561</v>
      </c>
      <c r="P6" s="24">
        <f t="shared" si="6"/>
        <v>0</v>
      </c>
      <c r="Q6" s="25">
        <f t="shared" si="7"/>
        <v>1228.05</v>
      </c>
      <c r="R6" s="33"/>
      <c r="S6" s="33">
        <v>0.55000000000000004</v>
      </c>
      <c r="T6" s="34">
        <f>$C$11</f>
        <v>0.06</v>
      </c>
      <c r="U6" s="35">
        <f t="shared" ref="U6:U69" si="18">X5</f>
        <v>0.99953999999999998</v>
      </c>
      <c r="V6" s="35">
        <f t="shared" ref="V6:V69" si="19">S6*U6/1000</f>
        <v>5.4974699999999995E-4</v>
      </c>
      <c r="W6" s="35">
        <f t="shared" ref="W6:W69" si="20">MIN(T6*U6,U6-V6)</f>
        <v>5.9972399999999995E-2</v>
      </c>
      <c r="X6" s="27">
        <f t="shared" ref="X6:X69" si="21">U6-SUM(V6:W6)</f>
        <v>0.93901785299999996</v>
      </c>
      <c r="Y6" s="36"/>
      <c r="Z6" s="28">
        <f t="shared" ref="Z6:AA59" si="22">AB5</f>
        <v>1011.134664</v>
      </c>
      <c r="AA6" s="28">
        <f t="shared" si="22"/>
        <v>499.77</v>
      </c>
      <c r="AB6" s="28">
        <f t="shared" ref="AB6:AB69" si="23">Q6*X6</f>
        <v>1153.1608743766499</v>
      </c>
      <c r="AC6" s="28">
        <f t="shared" si="1"/>
        <v>469.50892649999997</v>
      </c>
      <c r="AD6" s="36"/>
      <c r="AE6" s="28">
        <f t="shared" si="2"/>
        <v>346.49758775699996</v>
      </c>
      <c r="AF6" s="28">
        <f t="shared" si="3"/>
        <v>-17.32487938785</v>
      </c>
      <c r="AG6" s="28">
        <f t="shared" si="3"/>
        <v>-23.475446325</v>
      </c>
      <c r="AH6" s="28">
        <f t="shared" ref="AH6:AH69" si="24">-M6*V6</f>
        <v>-27.487349999999999</v>
      </c>
      <c r="AI6" s="28">
        <f t="shared" ref="AI6:AI69" si="25">-P6*W6</f>
        <v>0</v>
      </c>
      <c r="AJ6" s="28">
        <f t="shared" si="8"/>
        <v>278.20991204414997</v>
      </c>
      <c r="AK6" s="28">
        <f t="shared" si="9"/>
        <v>-142.02621037664983</v>
      </c>
      <c r="AL6" s="28">
        <f t="shared" ref="AL6:AL69" si="26">$D$6*SUM(Z6:AA6,AE6:AF6)</f>
        <v>101.20425548030326</v>
      </c>
      <c r="AM6" s="28">
        <f t="shared" si="10"/>
        <v>237.38795714780341</v>
      </c>
      <c r="AN6" s="28">
        <f t="shared" si="11"/>
        <v>30.261073500000009</v>
      </c>
      <c r="AO6" s="28">
        <f t="shared" si="12"/>
        <v>267.64903064780344</v>
      </c>
      <c r="AQ6" s="29">
        <f>AO85</f>
        <v>18.003414917464852</v>
      </c>
      <c r="AT6" s="32">
        <f t="shared" ref="AT6:AT69" si="27">AT5+1</f>
        <v>2</v>
      </c>
      <c r="AU6" s="30">
        <f>AU5-AV5</f>
        <v>0.99953999999999998</v>
      </c>
      <c r="AV6" s="30">
        <f>S6*AU6/1000</f>
        <v>5.4974699999999995E-4</v>
      </c>
      <c r="AW6" s="9">
        <f>ROUND((1000*NPV($AT$1,$AV7:$AV$79)-$AW$1*($AU7+NPV($AT$1,$AU8:$AU$79)))/AU7,3)</f>
        <v>24.561</v>
      </c>
      <c r="AX6" s="9">
        <f>ROUND(MAX(0,1000*NPV($AT$2,$AV7:$AV$79)-$AW$2*($AU7+NPV($AT$2,$AU8:$AU$79)))/AU7,3)</f>
        <v>0</v>
      </c>
    </row>
    <row r="7" spans="1:50" ht="16" x14ac:dyDescent="0.2">
      <c r="A7" s="14" t="s">
        <v>61</v>
      </c>
      <c r="B7" s="14"/>
      <c r="C7" s="40"/>
      <c r="D7" s="41">
        <v>0.12</v>
      </c>
      <c r="E7" s="39"/>
      <c r="F7" s="39"/>
      <c r="G7" s="39"/>
      <c r="H7" s="31"/>
      <c r="I7" s="32">
        <f t="shared" si="14"/>
        <v>3</v>
      </c>
      <c r="J7" s="20">
        <f t="shared" si="15"/>
        <v>369</v>
      </c>
      <c r="K7" s="20">
        <f t="shared" si="16"/>
        <v>18.45</v>
      </c>
      <c r="L7" s="21">
        <f t="shared" si="17"/>
        <v>25</v>
      </c>
      <c r="M7" s="20">
        <f t="shared" si="0"/>
        <v>50000</v>
      </c>
      <c r="N7" s="22">
        <f>AX7</f>
        <v>1.9419999999999999</v>
      </c>
      <c r="O7" s="33">
        <f t="shared" si="5"/>
        <v>28.957999999999998</v>
      </c>
      <c r="P7" s="24">
        <f t="shared" si="6"/>
        <v>97.1</v>
      </c>
      <c r="Q7" s="25">
        <f t="shared" si="7"/>
        <v>1447.9</v>
      </c>
      <c r="R7" s="33"/>
      <c r="S7" s="33">
        <v>0.66</v>
      </c>
      <c r="T7" s="34">
        <f>$C$11</f>
        <v>0.06</v>
      </c>
      <c r="U7" s="35">
        <f t="shared" si="18"/>
        <v>0.93901785299999996</v>
      </c>
      <c r="V7" s="35">
        <f t="shared" si="19"/>
        <v>6.1975178298000005E-4</v>
      </c>
      <c r="W7" s="35">
        <f t="shared" si="20"/>
        <v>5.6341071179999994E-2</v>
      </c>
      <c r="X7" s="27">
        <f t="shared" si="21"/>
        <v>0.88205703003701996</v>
      </c>
      <c r="Y7" s="36"/>
      <c r="Z7" s="28">
        <f t="shared" si="22"/>
        <v>1153.1608743766499</v>
      </c>
      <c r="AA7" s="28">
        <f t="shared" si="22"/>
        <v>469.50892649999997</v>
      </c>
      <c r="AB7" s="28">
        <f t="shared" si="23"/>
        <v>1277.1303737906012</v>
      </c>
      <c r="AC7" s="28">
        <f t="shared" si="1"/>
        <v>441.02851501851001</v>
      </c>
      <c r="AD7" s="36"/>
      <c r="AE7" s="28">
        <f t="shared" si="2"/>
        <v>325.47904408366037</v>
      </c>
      <c r="AF7" s="28">
        <f t="shared" si="3"/>
        <v>-16.273952204183018</v>
      </c>
      <c r="AG7" s="28">
        <f t="shared" si="3"/>
        <v>-22.0514257509255</v>
      </c>
      <c r="AH7" s="28">
        <f t="shared" si="24"/>
        <v>-30.987589149000001</v>
      </c>
      <c r="AI7" s="28">
        <f t="shared" si="25"/>
        <v>-5.4707180115779988</v>
      </c>
      <c r="AJ7" s="28">
        <f t="shared" si="8"/>
        <v>250.69535896797382</v>
      </c>
      <c r="AK7" s="28">
        <f t="shared" si="9"/>
        <v>-123.96949941395133</v>
      </c>
      <c r="AL7" s="28">
        <f t="shared" si="26"/>
        <v>106.253119101587</v>
      </c>
      <c r="AM7" s="28">
        <f t="shared" si="10"/>
        <v>232.9789786556095</v>
      </c>
      <c r="AN7" s="28">
        <f t="shared" si="11"/>
        <v>28.480411481489966</v>
      </c>
      <c r="AO7" s="28">
        <f t="shared" si="12"/>
        <v>261.45939013709949</v>
      </c>
      <c r="AT7" s="32">
        <f t="shared" si="27"/>
        <v>3</v>
      </c>
      <c r="AU7" s="30">
        <f t="shared" ref="AU7:AU70" si="28">AU6-AV6</f>
        <v>0.99899025299999999</v>
      </c>
      <c r="AV7" s="30">
        <f t="shared" si="13"/>
        <v>6.5933356697999996E-4</v>
      </c>
      <c r="AW7" s="9">
        <f>ROUND((1000*NPV($AT$1,$AV8:$AV$79)-$AW$1*($AU8+NPV($AT$1,$AU9:$AU$79)))/AU8,3)</f>
        <v>28.957999999999998</v>
      </c>
      <c r="AX7" s="9">
        <f>ROUND(MAX(0,1000*NPV($AT$2,$AV8:$AV$79)-$AW$2*($AU8+NPV($AT$2,$AU9:$AU$79)))/AU8,3)</f>
        <v>1.9419999999999999</v>
      </c>
    </row>
    <row r="8" spans="1:50" ht="16" x14ac:dyDescent="0.2">
      <c r="A8" s="37" t="s">
        <v>62</v>
      </c>
      <c r="B8" s="37"/>
      <c r="C8" s="15"/>
      <c r="D8" s="7"/>
      <c r="E8" s="7"/>
      <c r="F8" s="7"/>
      <c r="G8" s="7"/>
      <c r="H8" s="7"/>
      <c r="I8" s="32">
        <f t="shared" si="14"/>
        <v>4</v>
      </c>
      <c r="J8" s="20">
        <f t="shared" si="15"/>
        <v>369</v>
      </c>
      <c r="K8" s="20">
        <f t="shared" si="16"/>
        <v>18.45</v>
      </c>
      <c r="L8" s="21">
        <f t="shared" si="17"/>
        <v>25</v>
      </c>
      <c r="M8" s="20">
        <f t="shared" si="0"/>
        <v>50000</v>
      </c>
      <c r="N8" s="22">
        <f t="shared" si="4"/>
        <v>4.4119999999999999</v>
      </c>
      <c r="O8" s="33">
        <f t="shared" si="5"/>
        <v>33.487000000000002</v>
      </c>
      <c r="P8" s="24">
        <f t="shared" si="6"/>
        <v>220.6</v>
      </c>
      <c r="Q8" s="25">
        <f t="shared" si="7"/>
        <v>1674.35</v>
      </c>
      <c r="R8" s="33"/>
      <c r="S8" s="33">
        <v>0.71</v>
      </c>
      <c r="T8" s="34">
        <f>$C$11</f>
        <v>0.06</v>
      </c>
      <c r="U8" s="35">
        <f t="shared" si="18"/>
        <v>0.88205703003701996</v>
      </c>
      <c r="V8" s="35">
        <f t="shared" si="19"/>
        <v>6.2626049132628414E-4</v>
      </c>
      <c r="W8" s="35">
        <f t="shared" si="20"/>
        <v>5.2923421802221197E-2</v>
      </c>
      <c r="X8" s="27">
        <f t="shared" si="21"/>
        <v>0.82850734774347246</v>
      </c>
      <c r="Y8" s="36"/>
      <c r="Z8" s="28">
        <f t="shared" si="22"/>
        <v>1277.1303737906012</v>
      </c>
      <c r="AA8" s="28">
        <f t="shared" si="22"/>
        <v>441.02851501851001</v>
      </c>
      <c r="AB8" s="28">
        <f t="shared" si="23"/>
        <v>1387.2112776942831</v>
      </c>
      <c r="AC8" s="28">
        <f t="shared" si="1"/>
        <v>414.25367387173623</v>
      </c>
      <c r="AD8" s="36"/>
      <c r="AE8" s="28">
        <f t="shared" si="2"/>
        <v>305.71921131734132</v>
      </c>
      <c r="AF8" s="28">
        <f t="shared" si="3"/>
        <v>-15.285960565867066</v>
      </c>
      <c r="AG8" s="28">
        <f t="shared" si="3"/>
        <v>-20.712683693586811</v>
      </c>
      <c r="AH8" s="28">
        <f t="shared" si="24"/>
        <v>-31.313024566314208</v>
      </c>
      <c r="AI8" s="28">
        <f t="shared" si="25"/>
        <v>-11.674906849569997</v>
      </c>
      <c r="AJ8" s="28">
        <f t="shared" si="8"/>
        <v>226.73263564200323</v>
      </c>
      <c r="AK8" s="28">
        <f t="shared" si="9"/>
        <v>-110.08090390368193</v>
      </c>
      <c r="AL8" s="28">
        <f t="shared" si="26"/>
        <v>110.4725676758322</v>
      </c>
      <c r="AM8" s="28">
        <f t="shared" si="10"/>
        <v>227.12429941415348</v>
      </c>
      <c r="AN8" s="28">
        <f t="shared" si="11"/>
        <v>26.774841146773781</v>
      </c>
      <c r="AO8" s="28">
        <f t="shared" si="12"/>
        <v>253.89914056092726</v>
      </c>
      <c r="AT8" s="32">
        <f t="shared" si="27"/>
        <v>4</v>
      </c>
      <c r="AU8" s="30">
        <f>AU7-AV7</f>
        <v>0.99833091943301999</v>
      </c>
      <c r="AV8" s="30">
        <f t="shared" si="13"/>
        <v>7.0881495279744413E-4</v>
      </c>
      <c r="AW8" s="9">
        <f>ROUND((1000*NPV($AT$1,$AV9:$AV$79)-$AW$1*($AU9+NPV($AT$1,$AU10:$AU$79)))/AU9,3)</f>
        <v>33.487000000000002</v>
      </c>
      <c r="AX8" s="9">
        <f>ROUND(MAX(0,1000*NPV($AT$2,$AV9:$AV$79)-$AW$2*($AU9+NPV($AT$2,$AU10:$AU$79)))/AU9,3)</f>
        <v>4.4119999999999999</v>
      </c>
    </row>
    <row r="9" spans="1:50" ht="16" x14ac:dyDescent="0.2">
      <c r="A9" s="37"/>
      <c r="B9" s="15" t="s">
        <v>63</v>
      </c>
      <c r="C9" s="15" t="s">
        <v>64</v>
      </c>
      <c r="D9" s="7"/>
      <c r="E9" s="7"/>
      <c r="F9" s="7"/>
      <c r="G9" s="7"/>
      <c r="H9" s="7"/>
      <c r="I9" s="32">
        <f t="shared" si="14"/>
        <v>5</v>
      </c>
      <c r="J9" s="20">
        <f t="shared" si="15"/>
        <v>369</v>
      </c>
      <c r="K9" s="20">
        <f t="shared" si="16"/>
        <v>18.45</v>
      </c>
      <c r="L9" s="21">
        <f t="shared" si="17"/>
        <v>25</v>
      </c>
      <c r="M9" s="20">
        <f t="shared" si="0"/>
        <v>50000</v>
      </c>
      <c r="N9" s="22">
        <f t="shared" si="4"/>
        <v>6.9930000000000003</v>
      </c>
      <c r="O9" s="33">
        <f t="shared" si="5"/>
        <v>38.161000000000001</v>
      </c>
      <c r="P9" s="24">
        <f t="shared" si="6"/>
        <v>349.65</v>
      </c>
      <c r="Q9" s="25">
        <f t="shared" si="7"/>
        <v>1908.05</v>
      </c>
      <c r="R9" s="33"/>
      <c r="S9" s="33">
        <v>0.75</v>
      </c>
      <c r="T9" s="34">
        <f>$C$11</f>
        <v>0.06</v>
      </c>
      <c r="U9" s="35">
        <f t="shared" si="18"/>
        <v>0.82850734774347246</v>
      </c>
      <c r="V9" s="35">
        <f t="shared" si="19"/>
        <v>6.2138051080760438E-4</v>
      </c>
      <c r="W9" s="35">
        <f t="shared" si="20"/>
        <v>4.9710440864608345E-2</v>
      </c>
      <c r="X9" s="27">
        <f t="shared" si="21"/>
        <v>0.77817552636805654</v>
      </c>
      <c r="Y9" s="36"/>
      <c r="Z9" s="28">
        <f t="shared" si="22"/>
        <v>1387.2112776942831</v>
      </c>
      <c r="AA9" s="28">
        <f t="shared" si="22"/>
        <v>414.25367387173623</v>
      </c>
      <c r="AB9" s="28">
        <f t="shared" si="23"/>
        <v>1484.7978130865702</v>
      </c>
      <c r="AC9" s="28">
        <f t="shared" si="1"/>
        <v>389.08776318402829</v>
      </c>
      <c r="AD9" s="36"/>
      <c r="AE9" s="28">
        <f t="shared" si="2"/>
        <v>287.14676922981289</v>
      </c>
      <c r="AF9" s="28">
        <f t="shared" si="3"/>
        <v>-14.357338461490643</v>
      </c>
      <c r="AG9" s="28">
        <f t="shared" si="3"/>
        <v>-19.454388159201415</v>
      </c>
      <c r="AH9" s="28">
        <f t="shared" si="24"/>
        <v>-31.06902554038022</v>
      </c>
      <c r="AI9" s="28">
        <f t="shared" si="25"/>
        <v>-17.381255648310308</v>
      </c>
      <c r="AJ9" s="28">
        <f t="shared" si="8"/>
        <v>204.88476142043029</v>
      </c>
      <c r="AK9" s="28">
        <f t="shared" si="9"/>
        <v>-97.586535392287033</v>
      </c>
      <c r="AL9" s="28">
        <f t="shared" si="26"/>
        <v>114.08399102838879</v>
      </c>
      <c r="AM9" s="28">
        <f t="shared" si="10"/>
        <v>221.38221705653206</v>
      </c>
      <c r="AN9" s="28">
        <f t="shared" si="11"/>
        <v>25.165910687707935</v>
      </c>
      <c r="AO9" s="28">
        <f t="shared" si="12"/>
        <v>246.54812774423999</v>
      </c>
      <c r="AT9" s="32">
        <f t="shared" si="27"/>
        <v>5</v>
      </c>
      <c r="AU9" s="30">
        <f t="shared" si="28"/>
        <v>0.99762210448022259</v>
      </c>
      <c r="AV9" s="30">
        <f t="shared" si="13"/>
        <v>7.4821657836016695E-4</v>
      </c>
      <c r="AW9" s="9">
        <f>ROUND((1000*NPV($AT$1,$AV10:$AV$79)-$AW$1*($AU10+NPV($AT$1,$AU11:$AU$79)))/AU10,3)</f>
        <v>38.161000000000001</v>
      </c>
      <c r="AX9" s="9">
        <f>ROUND(MAX(0,1000*NPV($AT$2,$AV10:$AV$79)-$AW$2*($AU10+NPV($AT$2,$AU11:$AU$79)))/AU10,3)</f>
        <v>6.9930000000000003</v>
      </c>
    </row>
    <row r="10" spans="1:50" ht="16" x14ac:dyDescent="0.2">
      <c r="A10" s="37"/>
      <c r="B10" s="15">
        <v>1</v>
      </c>
      <c r="C10" s="42">
        <v>0</v>
      </c>
      <c r="D10" s="7"/>
      <c r="E10" s="43" t="s">
        <v>65</v>
      </c>
      <c r="F10" s="13"/>
      <c r="G10" s="7"/>
      <c r="H10" s="7"/>
      <c r="I10" s="32">
        <f t="shared" si="14"/>
        <v>6</v>
      </c>
      <c r="J10" s="20">
        <f t="shared" si="15"/>
        <v>369</v>
      </c>
      <c r="K10" s="20">
        <f t="shared" si="16"/>
        <v>18.45</v>
      </c>
      <c r="L10" s="21">
        <f t="shared" si="17"/>
        <v>25</v>
      </c>
      <c r="M10" s="20">
        <f t="shared" si="0"/>
        <v>50000</v>
      </c>
      <c r="N10" s="22">
        <f t="shared" si="4"/>
        <v>9.7260000000000009</v>
      </c>
      <c r="O10" s="33">
        <f t="shared" si="5"/>
        <v>43.021999999999998</v>
      </c>
      <c r="P10" s="24">
        <f t="shared" si="6"/>
        <v>486.30000000000007</v>
      </c>
      <c r="Q10" s="25">
        <f t="shared" si="7"/>
        <v>2151.1</v>
      </c>
      <c r="R10" s="33"/>
      <c r="S10" s="33">
        <v>0.754</v>
      </c>
      <c r="T10" s="34">
        <f>$C$12</f>
        <v>0.05</v>
      </c>
      <c r="U10" s="35">
        <f t="shared" si="18"/>
        <v>0.77817552636805654</v>
      </c>
      <c r="V10" s="35">
        <f t="shared" si="19"/>
        <v>5.8674434688151466E-4</v>
      </c>
      <c r="W10" s="35">
        <f t="shared" si="20"/>
        <v>3.8908776318402831E-2</v>
      </c>
      <c r="X10" s="27">
        <f t="shared" si="21"/>
        <v>0.73868000570277215</v>
      </c>
      <c r="Y10" s="36"/>
      <c r="Z10" s="28">
        <f t="shared" si="22"/>
        <v>1484.7978130865702</v>
      </c>
      <c r="AA10" s="28">
        <f t="shared" si="22"/>
        <v>389.08776318402829</v>
      </c>
      <c r="AB10" s="28">
        <f t="shared" si="23"/>
        <v>1588.9745602672331</v>
      </c>
      <c r="AC10" s="28">
        <f t="shared" si="1"/>
        <v>369.34000285138609</v>
      </c>
      <c r="AD10" s="36"/>
      <c r="AE10" s="28">
        <f t="shared" si="2"/>
        <v>272.57292210432291</v>
      </c>
      <c r="AF10" s="28">
        <f t="shared" si="3"/>
        <v>-13.628646105216145</v>
      </c>
      <c r="AG10" s="28">
        <f t="shared" si="3"/>
        <v>-18.467000142569304</v>
      </c>
      <c r="AH10" s="28">
        <f t="shared" si="24"/>
        <v>-29.337217344075732</v>
      </c>
      <c r="AI10" s="28">
        <f t="shared" si="25"/>
        <v>-18.9213379236393</v>
      </c>
      <c r="AJ10" s="28">
        <f t="shared" si="8"/>
        <v>192.21872058882244</v>
      </c>
      <c r="AK10" s="28">
        <f t="shared" si="9"/>
        <v>-104.17674718066291</v>
      </c>
      <c r="AL10" s="28">
        <f t="shared" si="26"/>
        <v>117.3056418748338</v>
      </c>
      <c r="AM10" s="28">
        <f t="shared" si="10"/>
        <v>205.34761528299333</v>
      </c>
      <c r="AN10" s="28">
        <f t="shared" si="11"/>
        <v>19.747760332642201</v>
      </c>
      <c r="AO10" s="28">
        <f t="shared" si="12"/>
        <v>225.09537561563553</v>
      </c>
      <c r="AT10" s="32">
        <f t="shared" si="27"/>
        <v>6</v>
      </c>
      <c r="AU10" s="30">
        <f t="shared" si="28"/>
        <v>0.99687388790186238</v>
      </c>
      <c r="AV10" s="30">
        <f t="shared" si="13"/>
        <v>7.5164291147800425E-4</v>
      </c>
      <c r="AW10" s="9">
        <f>ROUND((1000*NPV($AT$1,$AV11:$AV$79)-$AW$1*($AU11+NPV($AT$1,$AU12:$AU$79)))/AU11,3)</f>
        <v>43.021999999999998</v>
      </c>
      <c r="AX10" s="9">
        <f>ROUND(MAX(0,1000*NPV($AT$2,$AV11:$AV$79)-$AW$2*($AU11+NPV($AT$2,$AU12:$AU$79)))/AU11,3)</f>
        <v>9.7260000000000009</v>
      </c>
    </row>
    <row r="11" spans="1:50" ht="16" x14ac:dyDescent="0.2">
      <c r="A11" s="37"/>
      <c r="B11" s="44" t="s">
        <v>66</v>
      </c>
      <c r="C11" s="42">
        <v>0.06</v>
      </c>
      <c r="D11" s="7"/>
      <c r="E11" s="45">
        <v>50000</v>
      </c>
      <c r="F11" s="13"/>
      <c r="G11" s="7"/>
      <c r="H11" s="7"/>
      <c r="I11" s="32">
        <f t="shared" si="14"/>
        <v>7</v>
      </c>
      <c r="J11" s="20">
        <f t="shared" si="15"/>
        <v>369</v>
      </c>
      <c r="K11" s="20">
        <f t="shared" si="16"/>
        <v>18.45</v>
      </c>
      <c r="L11" s="21">
        <f t="shared" si="17"/>
        <v>25</v>
      </c>
      <c r="M11" s="20">
        <f t="shared" si="0"/>
        <v>50000</v>
      </c>
      <c r="N11" s="22">
        <f t="shared" si="4"/>
        <v>12.616</v>
      </c>
      <c r="O11" s="33">
        <f t="shared" si="5"/>
        <v>48.070999999999998</v>
      </c>
      <c r="P11" s="24">
        <f t="shared" si="6"/>
        <v>630.79999999999995</v>
      </c>
      <c r="Q11" s="25">
        <f t="shared" si="7"/>
        <v>2403.5500000000002</v>
      </c>
      <c r="R11" s="33"/>
      <c r="S11" s="33">
        <v>0.76400000000000001</v>
      </c>
      <c r="T11" s="34">
        <f>$C$12</f>
        <v>0.05</v>
      </c>
      <c r="U11" s="35">
        <f t="shared" si="18"/>
        <v>0.73868000570277215</v>
      </c>
      <c r="V11" s="35">
        <f t="shared" si="19"/>
        <v>5.6435152435691796E-4</v>
      </c>
      <c r="W11" s="35">
        <f t="shared" si="20"/>
        <v>3.6934000285138609E-2</v>
      </c>
      <c r="X11" s="27">
        <f t="shared" si="21"/>
        <v>0.70118165389327658</v>
      </c>
      <c r="Y11" s="36"/>
      <c r="Z11" s="28">
        <f t="shared" si="22"/>
        <v>1588.9745602672331</v>
      </c>
      <c r="AA11" s="28">
        <f t="shared" si="22"/>
        <v>369.34000285138609</v>
      </c>
      <c r="AB11" s="28">
        <f t="shared" si="23"/>
        <v>1685.3251642151849</v>
      </c>
      <c r="AC11" s="28">
        <f t="shared" si="1"/>
        <v>350.59082694663829</v>
      </c>
      <c r="AD11" s="36"/>
      <c r="AE11" s="28">
        <f t="shared" si="2"/>
        <v>258.73603028661904</v>
      </c>
      <c r="AF11" s="28">
        <f t="shared" si="3"/>
        <v>-12.936801514330952</v>
      </c>
      <c r="AG11" s="28">
        <f t="shared" si="3"/>
        <v>-17.529541347331914</v>
      </c>
      <c r="AH11" s="28">
        <f t="shared" si="24"/>
        <v>-28.217576217845899</v>
      </c>
      <c r="AI11" s="28">
        <f t="shared" si="25"/>
        <v>-23.297967379865433</v>
      </c>
      <c r="AJ11" s="28">
        <f t="shared" si="8"/>
        <v>176.7541438272448</v>
      </c>
      <c r="AK11" s="28">
        <f t="shared" si="9"/>
        <v>-96.350603947951868</v>
      </c>
      <c r="AL11" s="28">
        <f t="shared" si="26"/>
        <v>121.2262585539999</v>
      </c>
      <c r="AM11" s="28">
        <f t="shared" si="10"/>
        <v>201.62979843329282</v>
      </c>
      <c r="AN11" s="28">
        <f t="shared" si="11"/>
        <v>18.749175904747801</v>
      </c>
      <c r="AO11" s="28">
        <f t="shared" si="12"/>
        <v>220.37897433804062</v>
      </c>
      <c r="AT11" s="32">
        <f t="shared" si="27"/>
        <v>7</v>
      </c>
      <c r="AU11" s="30">
        <f t="shared" si="28"/>
        <v>0.99612224499038438</v>
      </c>
      <c r="AV11" s="30">
        <f t="shared" si="13"/>
        <v>7.6103739517265371E-4</v>
      </c>
      <c r="AW11" s="9">
        <f>ROUND((1000*NPV($AT$1,$AV12:$AV$79)-$AW$1*($AU12+NPV($AT$1,$AU13:$AU$79)))/AU12,3)</f>
        <v>48.070999999999998</v>
      </c>
      <c r="AX11" s="9">
        <f>ROUND(MAX(0,1000*NPV($AT$2,$AV12:$AV$79)-$AW$2*($AU12+NPV($AT$2,$AU13:$AU$79)))/AU12,3)</f>
        <v>12.616</v>
      </c>
    </row>
    <row r="12" spans="1:50" ht="16" x14ac:dyDescent="0.2">
      <c r="A12" s="37"/>
      <c r="B12" s="44" t="s">
        <v>67</v>
      </c>
      <c r="C12" s="42">
        <v>0.05</v>
      </c>
      <c r="D12" s="7"/>
      <c r="E12" s="7"/>
      <c r="F12" s="7"/>
      <c r="G12" s="7"/>
      <c r="H12" s="7"/>
      <c r="I12" s="32">
        <f t="shared" si="14"/>
        <v>8</v>
      </c>
      <c r="J12" s="20">
        <f t="shared" si="15"/>
        <v>369</v>
      </c>
      <c r="K12" s="20">
        <f t="shared" si="16"/>
        <v>18.45</v>
      </c>
      <c r="L12" s="21">
        <f t="shared" si="17"/>
        <v>25</v>
      </c>
      <c r="M12" s="20">
        <f t="shared" si="0"/>
        <v>50000</v>
      </c>
      <c r="N12" s="22">
        <f t="shared" si="4"/>
        <v>15.676</v>
      </c>
      <c r="O12" s="33">
        <f t="shared" si="5"/>
        <v>53.320999999999998</v>
      </c>
      <c r="P12" s="24">
        <f t="shared" si="6"/>
        <v>783.8</v>
      </c>
      <c r="Q12" s="25">
        <f t="shared" si="7"/>
        <v>2666.05</v>
      </c>
      <c r="R12" s="33"/>
      <c r="S12" s="33">
        <v>0.76999999999999991</v>
      </c>
      <c r="T12" s="34">
        <f>$C$12</f>
        <v>0.05</v>
      </c>
      <c r="U12" s="35">
        <f t="shared" si="18"/>
        <v>0.70118165389327658</v>
      </c>
      <c r="V12" s="35">
        <f t="shared" si="19"/>
        <v>5.3990987349782288E-4</v>
      </c>
      <c r="W12" s="35">
        <f t="shared" si="20"/>
        <v>3.5059082694663832E-2</v>
      </c>
      <c r="X12" s="27">
        <f t="shared" si="21"/>
        <v>0.6655826613251149</v>
      </c>
      <c r="Y12" s="36"/>
      <c r="Z12" s="28">
        <f t="shared" si="22"/>
        <v>1685.3251642151849</v>
      </c>
      <c r="AA12" s="28">
        <f t="shared" si="22"/>
        <v>350.59082694663829</v>
      </c>
      <c r="AB12" s="28">
        <f t="shared" si="23"/>
        <v>1774.4766542258226</v>
      </c>
      <c r="AC12" s="28">
        <f t="shared" si="1"/>
        <v>332.79133066255747</v>
      </c>
      <c r="AD12" s="36"/>
      <c r="AE12" s="28">
        <f t="shared" si="2"/>
        <v>245.6000020289674</v>
      </c>
      <c r="AF12" s="28">
        <f t="shared" si="3"/>
        <v>-12.280000101448369</v>
      </c>
      <c r="AG12" s="28">
        <f t="shared" si="3"/>
        <v>-16.639566533127873</v>
      </c>
      <c r="AH12" s="28">
        <f t="shared" si="24"/>
        <v>-26.995493674891144</v>
      </c>
      <c r="AI12" s="28">
        <f t="shared" si="25"/>
        <v>-27.479309016077508</v>
      </c>
      <c r="AJ12" s="28">
        <f t="shared" si="8"/>
        <v>162.20563270342251</v>
      </c>
      <c r="AK12" s="28">
        <f t="shared" si="9"/>
        <v>-89.151490010637644</v>
      </c>
      <c r="AL12" s="28">
        <f t="shared" si="26"/>
        <v>124.80797961991382</v>
      </c>
      <c r="AM12" s="28">
        <f t="shared" si="10"/>
        <v>197.86212231269869</v>
      </c>
      <c r="AN12" s="28">
        <f t="shared" si="11"/>
        <v>17.799496284080817</v>
      </c>
      <c r="AO12" s="28">
        <f t="shared" si="12"/>
        <v>215.6616185967795</v>
      </c>
      <c r="AT12" s="32">
        <f t="shared" si="27"/>
        <v>8</v>
      </c>
      <c r="AU12" s="30">
        <f t="shared" si="28"/>
        <v>0.99536120759521174</v>
      </c>
      <c r="AV12" s="30">
        <f t="shared" si="13"/>
        <v>7.6642812984831297E-4</v>
      </c>
      <c r="AW12" s="9">
        <f>ROUND((1000*NPV($AT$1,$AV13:$AV$79)-$AW$1*($AU13+NPV($AT$1,$AU14:$AU$79)))/AU13,3)</f>
        <v>53.320999999999998</v>
      </c>
      <c r="AX12" s="9">
        <f>ROUND(MAX(0,1000*NPV($AT$2,$AV13:$AV$79)-$AW$2*($AU13+NPV($AT$2,$AU14:$AU$79)))/AU13,3)</f>
        <v>15.676</v>
      </c>
    </row>
    <row r="13" spans="1:50" ht="16" x14ac:dyDescent="0.2">
      <c r="A13" s="37"/>
      <c r="B13" s="15" t="s">
        <v>68</v>
      </c>
      <c r="C13" s="42">
        <v>0.04</v>
      </c>
      <c r="D13" s="7"/>
      <c r="E13" s="7"/>
      <c r="F13" s="7"/>
      <c r="G13" s="7"/>
      <c r="H13" s="7"/>
      <c r="I13" s="32">
        <f t="shared" si="14"/>
        <v>9</v>
      </c>
      <c r="J13" s="20">
        <f t="shared" si="15"/>
        <v>369</v>
      </c>
      <c r="K13" s="20">
        <f t="shared" si="16"/>
        <v>18.45</v>
      </c>
      <c r="L13" s="21">
        <f t="shared" si="17"/>
        <v>25</v>
      </c>
      <c r="M13" s="20">
        <f t="shared" si="0"/>
        <v>50000</v>
      </c>
      <c r="N13" s="22">
        <f t="shared" si="4"/>
        <v>18.917999999999999</v>
      </c>
      <c r="O13" s="33">
        <f t="shared" si="5"/>
        <v>58.781999999999996</v>
      </c>
      <c r="P13" s="24">
        <f t="shared" si="6"/>
        <v>945.9</v>
      </c>
      <c r="Q13" s="25">
        <f t="shared" si="7"/>
        <v>2939.1</v>
      </c>
      <c r="R13" s="33"/>
      <c r="S13" s="33">
        <v>0.77399999999999991</v>
      </c>
      <c r="T13" s="34">
        <f>$C$12</f>
        <v>0.05</v>
      </c>
      <c r="U13" s="35">
        <f t="shared" si="18"/>
        <v>0.6655826613251149</v>
      </c>
      <c r="V13" s="35">
        <f t="shared" si="19"/>
        <v>5.151609798656389E-4</v>
      </c>
      <c r="W13" s="35">
        <f t="shared" si="20"/>
        <v>3.3279133066255746E-2</v>
      </c>
      <c r="X13" s="27">
        <f t="shared" si="21"/>
        <v>0.63178836727899346</v>
      </c>
      <c r="Y13" s="36"/>
      <c r="Z13" s="28">
        <f t="shared" si="22"/>
        <v>1774.4766542258226</v>
      </c>
      <c r="AA13" s="28">
        <f t="shared" si="22"/>
        <v>332.79133066255747</v>
      </c>
      <c r="AB13" s="28">
        <f t="shared" si="23"/>
        <v>1856.8891902696896</v>
      </c>
      <c r="AC13" s="28">
        <f t="shared" si="1"/>
        <v>315.8941836394967</v>
      </c>
      <c r="AD13" s="36"/>
      <c r="AE13" s="28">
        <f t="shared" si="2"/>
        <v>233.1299075259486</v>
      </c>
      <c r="AF13" s="28">
        <f t="shared" si="3"/>
        <v>-11.656495376297428</v>
      </c>
      <c r="AG13" s="28">
        <f t="shared" si="3"/>
        <v>-15.794709181974836</v>
      </c>
      <c r="AH13" s="28">
        <f t="shared" si="24"/>
        <v>-25.758048993281946</v>
      </c>
      <c r="AI13" s="28">
        <f t="shared" si="25"/>
        <v>-31.47873196737131</v>
      </c>
      <c r="AJ13" s="28">
        <f t="shared" si="8"/>
        <v>148.44192200702307</v>
      </c>
      <c r="AK13" s="28">
        <f t="shared" si="9"/>
        <v>-82.412536043867021</v>
      </c>
      <c r="AL13" s="28">
        <f t="shared" si="26"/>
        <v>128.08077683709172</v>
      </c>
      <c r="AM13" s="28">
        <f t="shared" si="10"/>
        <v>194.11016280024776</v>
      </c>
      <c r="AN13" s="28">
        <f t="shared" si="11"/>
        <v>16.897147023060768</v>
      </c>
      <c r="AO13" s="28">
        <f t="shared" si="12"/>
        <v>211.00730982330853</v>
      </c>
      <c r="AT13" s="32">
        <f t="shared" si="27"/>
        <v>9</v>
      </c>
      <c r="AU13" s="30">
        <f t="shared" si="28"/>
        <v>0.99459477946536345</v>
      </c>
      <c r="AV13" s="30">
        <f t="shared" si="13"/>
        <v>7.6981635930619124E-4</v>
      </c>
      <c r="AW13" s="9">
        <f>ROUND((1000*NPV($AT$1,$AV14:$AV$79)-$AW$1*($AU14+NPV($AT$1,$AU15:$AU$79)))/AU14,3)</f>
        <v>58.781999999999996</v>
      </c>
      <c r="AX13" s="9">
        <f>ROUND(MAX(0,1000*NPV($AT$2,$AV14:$AV$79)-$AW$2*($AU14+NPV($AT$2,$AU15:$AU$79)))/AU14,3)</f>
        <v>18.917999999999999</v>
      </c>
    </row>
    <row r="14" spans="1:50" ht="16" x14ac:dyDescent="0.2">
      <c r="A14" s="14" t="s">
        <v>69</v>
      </c>
      <c r="B14" s="13"/>
      <c r="C14" s="40"/>
      <c r="D14" s="7"/>
      <c r="E14" s="46" t="s">
        <v>70</v>
      </c>
      <c r="F14" s="15"/>
      <c r="G14" s="15"/>
      <c r="H14" s="47">
        <v>0.01</v>
      </c>
      <c r="I14" s="32">
        <f t="shared" si="14"/>
        <v>10</v>
      </c>
      <c r="J14" s="20">
        <f t="shared" si="15"/>
        <v>369</v>
      </c>
      <c r="K14" s="20">
        <f t="shared" si="16"/>
        <v>18.45</v>
      </c>
      <c r="L14" s="21">
        <f t="shared" si="17"/>
        <v>25</v>
      </c>
      <c r="M14" s="20">
        <f t="shared" si="0"/>
        <v>50000</v>
      </c>
      <c r="N14" s="22">
        <f t="shared" si="4"/>
        <v>22.347999999999999</v>
      </c>
      <c r="O14" s="33">
        <f t="shared" si="5"/>
        <v>64.456999999999994</v>
      </c>
      <c r="P14" s="24">
        <f t="shared" si="6"/>
        <v>1117.4000000000001</v>
      </c>
      <c r="Q14" s="25">
        <f t="shared" si="7"/>
        <v>3222.8499999999995</v>
      </c>
      <c r="R14" s="33"/>
      <c r="S14" s="33">
        <v>0.78299999999999992</v>
      </c>
      <c r="T14" s="34">
        <f>$C$12</f>
        <v>0.05</v>
      </c>
      <c r="U14" s="35">
        <f t="shared" si="18"/>
        <v>0.63178836727899346</v>
      </c>
      <c r="V14" s="35">
        <f t="shared" si="19"/>
        <v>4.9469029157945188E-4</v>
      </c>
      <c r="W14" s="35">
        <f t="shared" si="20"/>
        <v>3.1589418363949677E-2</v>
      </c>
      <c r="X14" s="27">
        <f t="shared" si="21"/>
        <v>0.59970425862346433</v>
      </c>
      <c r="Y14" s="36"/>
      <c r="Z14" s="28">
        <f t="shared" si="22"/>
        <v>1856.8891902696896</v>
      </c>
      <c r="AA14" s="28">
        <f t="shared" si="22"/>
        <v>315.8941836394967</v>
      </c>
      <c r="AB14" s="28">
        <f t="shared" si="23"/>
        <v>1932.7568699046317</v>
      </c>
      <c r="AC14" s="28">
        <f t="shared" si="1"/>
        <v>299.85212931173214</v>
      </c>
      <c r="AD14" s="36"/>
      <c r="AE14" s="28">
        <f t="shared" si="2"/>
        <v>221.29087143205834</v>
      </c>
      <c r="AF14" s="28">
        <f t="shared" si="3"/>
        <v>-11.064543571602917</v>
      </c>
      <c r="AG14" s="28">
        <f t="shared" si="3"/>
        <v>-14.992606465586608</v>
      </c>
      <c r="AH14" s="28">
        <f t="shared" si="24"/>
        <v>-24.734514578972593</v>
      </c>
      <c r="AI14" s="28">
        <f t="shared" si="25"/>
        <v>-35.298016079877371</v>
      </c>
      <c r="AJ14" s="28">
        <f t="shared" si="8"/>
        <v>135.20119073601887</v>
      </c>
      <c r="AK14" s="28">
        <f t="shared" si="9"/>
        <v>-75.867679634942078</v>
      </c>
      <c r="AL14" s="28">
        <f t="shared" si="26"/>
        <v>131.0655335973303</v>
      </c>
      <c r="AM14" s="28">
        <f t="shared" si="10"/>
        <v>190.3990446984071</v>
      </c>
      <c r="AN14" s="28">
        <f t="shared" si="11"/>
        <v>16.042054327764561</v>
      </c>
      <c r="AO14" s="28">
        <f t="shared" si="12"/>
        <v>206.44109902617166</v>
      </c>
      <c r="AT14" s="32">
        <f t="shared" si="27"/>
        <v>10</v>
      </c>
      <c r="AU14" s="30">
        <f t="shared" si="28"/>
        <v>0.99382496310605728</v>
      </c>
      <c r="AV14" s="30">
        <f t="shared" si="13"/>
        <v>7.7816494611204279E-4</v>
      </c>
      <c r="AW14" s="9">
        <f>ROUND((1000*NPV($AT$1,$AV15:$AV$79)-$AW$1*($AU15+NPV($AT$1,$AU16:$AU$79)))/AU15,3)</f>
        <v>64.456999999999994</v>
      </c>
      <c r="AX14" s="9">
        <f>ROUND(MAX(0,1000*NPV($AT$2,$AV15:$AV$79)-$AW$2*($AU15+NPV($AT$2,$AU16:$AU$79)))/AU15,3)</f>
        <v>22.347999999999999</v>
      </c>
    </row>
    <row r="15" spans="1:50" ht="16" x14ac:dyDescent="0.2">
      <c r="A15" s="14"/>
      <c r="B15" s="13" t="s">
        <v>63</v>
      </c>
      <c r="C15" s="13" t="s">
        <v>64</v>
      </c>
      <c r="D15" s="7"/>
      <c r="E15" s="7"/>
      <c r="F15" s="7"/>
      <c r="G15" s="7"/>
      <c r="H15" s="7"/>
      <c r="I15" s="32">
        <f t="shared" si="14"/>
        <v>11</v>
      </c>
      <c r="J15" s="20">
        <f t="shared" si="15"/>
        <v>369</v>
      </c>
      <c r="K15" s="20">
        <f t="shared" si="16"/>
        <v>18.45</v>
      </c>
      <c r="L15" s="21">
        <f t="shared" si="17"/>
        <v>25</v>
      </c>
      <c r="M15" s="20">
        <f t="shared" si="0"/>
        <v>50000</v>
      </c>
      <c r="N15" s="22">
        <f t="shared" si="4"/>
        <v>25.969000000000001</v>
      </c>
      <c r="O15" s="33">
        <f t="shared" si="5"/>
        <v>70.346000000000004</v>
      </c>
      <c r="P15" s="24">
        <f t="shared" si="6"/>
        <v>1298.45</v>
      </c>
      <c r="Q15" s="25">
        <f t="shared" si="7"/>
        <v>3517.3</v>
      </c>
      <c r="R15" s="33"/>
      <c r="S15" s="33">
        <v>0.80099999999999993</v>
      </c>
      <c r="T15" s="34">
        <f>$C$13</f>
        <v>0.04</v>
      </c>
      <c r="U15" s="35">
        <f t="shared" si="18"/>
        <v>0.59970425862346433</v>
      </c>
      <c r="V15" s="35">
        <f t="shared" si="19"/>
        <v>4.803631111573949E-4</v>
      </c>
      <c r="W15" s="35">
        <f t="shared" si="20"/>
        <v>2.3988170344938574E-2</v>
      </c>
      <c r="X15" s="27">
        <f t="shared" si="21"/>
        <v>0.57523572516736832</v>
      </c>
      <c r="Y15" s="36"/>
      <c r="Z15" s="28">
        <f t="shared" si="22"/>
        <v>1932.7568699046317</v>
      </c>
      <c r="AA15" s="28">
        <f t="shared" si="22"/>
        <v>299.85212931173214</v>
      </c>
      <c r="AB15" s="28">
        <f t="shared" si="23"/>
        <v>2023.2766161311847</v>
      </c>
      <c r="AC15" s="28">
        <f t="shared" si="1"/>
        <v>287.61786258368414</v>
      </c>
      <c r="AD15" s="36"/>
      <c r="AE15" s="28">
        <f t="shared" si="2"/>
        <v>212.2619825867589</v>
      </c>
      <c r="AF15" s="28">
        <f t="shared" si="3"/>
        <v>-10.613099129337945</v>
      </c>
      <c r="AG15" s="28">
        <f t="shared" si="3"/>
        <v>-14.380893129184209</v>
      </c>
      <c r="AH15" s="28">
        <f t="shared" si="24"/>
        <v>-24.018155557869743</v>
      </c>
      <c r="AI15" s="28">
        <f t="shared" si="25"/>
        <v>-31.147439784385494</v>
      </c>
      <c r="AJ15" s="28">
        <f t="shared" si="8"/>
        <v>132.10239498598153</v>
      </c>
      <c r="AK15" s="28">
        <f t="shared" si="9"/>
        <v>-90.519746226553025</v>
      </c>
      <c r="AL15" s="28">
        <f t="shared" si="26"/>
        <v>133.88418354705817</v>
      </c>
      <c r="AM15" s="28">
        <f t="shared" si="10"/>
        <v>175.46683230648668</v>
      </c>
      <c r="AN15" s="28">
        <f t="shared" si="11"/>
        <v>12.234266728047999</v>
      </c>
      <c r="AO15" s="28">
        <f t="shared" si="12"/>
        <v>187.70109903453468</v>
      </c>
      <c r="AT15" s="32">
        <f t="shared" si="27"/>
        <v>11</v>
      </c>
      <c r="AU15" s="30">
        <f t="shared" si="28"/>
        <v>0.99304679815994523</v>
      </c>
      <c r="AV15" s="30">
        <f t="shared" si="13"/>
        <v>7.9543048532611607E-4</v>
      </c>
      <c r="AW15" s="9">
        <f>ROUND((1000*NPV($AT$1,$AV16:$AV$79)-$AW$1*($AU16+NPV($AT$1,$AU17:$AU$79)))/AU16,3)</f>
        <v>70.346000000000004</v>
      </c>
      <c r="AX15" s="9">
        <f>ROUND(MAX(0,1000*NPV($AT$2,$AV16:$AV$79)-$AW$2*($AU16+NPV($AT$2,$AU17:$AU$79)))/AU16,3)</f>
        <v>25.969000000000001</v>
      </c>
    </row>
    <row r="16" spans="1:50" ht="16" x14ac:dyDescent="0.2">
      <c r="A16" s="14"/>
      <c r="B16" s="13">
        <v>1</v>
      </c>
      <c r="C16" s="40">
        <v>0.8</v>
      </c>
      <c r="D16" s="7"/>
      <c r="E16" s="7"/>
      <c r="F16" s="7"/>
      <c r="G16" s="48"/>
      <c r="H16" s="7"/>
      <c r="I16" s="32">
        <f t="shared" si="14"/>
        <v>12</v>
      </c>
      <c r="J16" s="20">
        <f t="shared" si="15"/>
        <v>369</v>
      </c>
      <c r="K16" s="20">
        <f t="shared" si="16"/>
        <v>18.45</v>
      </c>
      <c r="L16" s="21">
        <f t="shared" si="17"/>
        <v>25</v>
      </c>
      <c r="M16" s="20">
        <f t="shared" si="0"/>
        <v>50000</v>
      </c>
      <c r="N16" s="22">
        <f t="shared" si="4"/>
        <v>29.78</v>
      </c>
      <c r="O16" s="33">
        <f t="shared" si="5"/>
        <v>76.447000000000003</v>
      </c>
      <c r="P16" s="24">
        <f t="shared" si="6"/>
        <v>1489</v>
      </c>
      <c r="Q16" s="25">
        <f t="shared" si="7"/>
        <v>3822.35</v>
      </c>
      <c r="R16" s="33"/>
      <c r="S16" s="33">
        <v>0.83299999999999996</v>
      </c>
      <c r="T16" s="34">
        <f t="shared" ref="T16:T79" si="29">$C$13</f>
        <v>0.04</v>
      </c>
      <c r="U16" s="35">
        <f t="shared" si="18"/>
        <v>0.57523572516736832</v>
      </c>
      <c r="V16" s="35">
        <f t="shared" si="19"/>
        <v>4.7917135906441776E-4</v>
      </c>
      <c r="W16" s="35">
        <f t="shared" si="20"/>
        <v>2.3009429006694733E-2</v>
      </c>
      <c r="X16" s="27">
        <f t="shared" si="21"/>
        <v>0.55174712480160915</v>
      </c>
      <c r="Y16" s="36"/>
      <c r="Z16" s="28">
        <f t="shared" si="22"/>
        <v>2023.2766161311847</v>
      </c>
      <c r="AA16" s="28">
        <f t="shared" si="22"/>
        <v>287.61786258368414</v>
      </c>
      <c r="AB16" s="28">
        <f t="shared" si="23"/>
        <v>2108.9706224854308</v>
      </c>
      <c r="AC16" s="28">
        <f t="shared" si="1"/>
        <v>275.87356240080459</v>
      </c>
      <c r="AD16" s="36"/>
      <c r="AE16" s="28">
        <f t="shared" si="2"/>
        <v>203.59468905179378</v>
      </c>
      <c r="AF16" s="28">
        <f t="shared" si="3"/>
        <v>-10.179734452589688</v>
      </c>
      <c r="AG16" s="28">
        <f t="shared" si="3"/>
        <v>-13.793678120040228</v>
      </c>
      <c r="AH16" s="28">
        <f t="shared" si="24"/>
        <v>-23.958567953220889</v>
      </c>
      <c r="AI16" s="28">
        <f t="shared" si="25"/>
        <v>-34.261039790968461</v>
      </c>
      <c r="AJ16" s="28">
        <f t="shared" si="8"/>
        <v>121.40166873497452</v>
      </c>
      <c r="AK16" s="28">
        <f t="shared" si="9"/>
        <v>-85.694006354246085</v>
      </c>
      <c r="AL16" s="28">
        <f t="shared" si="26"/>
        <v>137.737018832274</v>
      </c>
      <c r="AM16" s="28">
        <f t="shared" si="10"/>
        <v>173.44468121300244</v>
      </c>
      <c r="AN16" s="28">
        <f t="shared" si="11"/>
        <v>11.744300182879556</v>
      </c>
      <c r="AO16" s="28">
        <f t="shared" si="12"/>
        <v>185.188981395882</v>
      </c>
      <c r="AT16" s="32">
        <f t="shared" si="27"/>
        <v>12</v>
      </c>
      <c r="AU16" s="30">
        <f t="shared" si="28"/>
        <v>0.99225136767461908</v>
      </c>
      <c r="AV16" s="30">
        <f t="shared" si="13"/>
        <v>8.2654538927295765E-4</v>
      </c>
      <c r="AW16" s="9">
        <f>ROUND((1000*NPV($AT$1,$AV17:$AV$79)-$AW$1*($AU17+NPV($AT$1,$AU18:$AU$79)))/AU17,3)</f>
        <v>76.447000000000003</v>
      </c>
      <c r="AX16" s="9">
        <f>ROUND(MAX(0,1000*NPV($AT$2,$AV17:$AV$79)-$AW$2*($AU17+NPV($AT$2,$AU18:$AU$79)))/AU17,3)</f>
        <v>29.78</v>
      </c>
    </row>
    <row r="17" spans="1:50" ht="16" x14ac:dyDescent="0.2">
      <c r="A17" s="14"/>
      <c r="B17" s="49" t="s">
        <v>71</v>
      </c>
      <c r="C17" s="40">
        <v>0.05</v>
      </c>
      <c r="D17" s="7"/>
      <c r="E17" s="7"/>
      <c r="F17" s="7"/>
      <c r="G17" s="48"/>
      <c r="H17" s="7"/>
      <c r="I17" s="32">
        <f t="shared" si="14"/>
        <v>13</v>
      </c>
      <c r="J17" s="20">
        <f t="shared" si="15"/>
        <v>369</v>
      </c>
      <c r="K17" s="20">
        <f t="shared" si="16"/>
        <v>18.45</v>
      </c>
      <c r="L17" s="21">
        <f t="shared" si="17"/>
        <v>25</v>
      </c>
      <c r="M17" s="20">
        <f t="shared" si="0"/>
        <v>50000</v>
      </c>
      <c r="N17" s="22">
        <f t="shared" si="4"/>
        <v>33.773000000000003</v>
      </c>
      <c r="O17" s="33">
        <f t="shared" si="5"/>
        <v>82.75</v>
      </c>
      <c r="P17" s="24">
        <f t="shared" si="6"/>
        <v>1688.6500000000003</v>
      </c>
      <c r="Q17" s="25">
        <f t="shared" si="7"/>
        <v>4137.5</v>
      </c>
      <c r="R17" s="33"/>
      <c r="S17" s="33">
        <v>0.88400000000000001</v>
      </c>
      <c r="T17" s="34">
        <f t="shared" si="29"/>
        <v>0.04</v>
      </c>
      <c r="U17" s="35">
        <f t="shared" si="18"/>
        <v>0.55174712480160915</v>
      </c>
      <c r="V17" s="35">
        <f t="shared" si="19"/>
        <v>4.8774445832462247E-4</v>
      </c>
      <c r="W17" s="35">
        <f t="shared" si="20"/>
        <v>2.2069884992064366E-2</v>
      </c>
      <c r="X17" s="27">
        <f t="shared" si="21"/>
        <v>0.52918949535122017</v>
      </c>
      <c r="Y17" s="36"/>
      <c r="Z17" s="28">
        <f t="shared" si="22"/>
        <v>2108.9706224854308</v>
      </c>
      <c r="AA17" s="28">
        <f t="shared" si="22"/>
        <v>275.87356240080459</v>
      </c>
      <c r="AB17" s="28">
        <f t="shared" si="23"/>
        <v>2189.5215370156734</v>
      </c>
      <c r="AC17" s="28">
        <f t="shared" si="1"/>
        <v>264.59474767561011</v>
      </c>
      <c r="AD17" s="36"/>
      <c r="AE17" s="28">
        <f t="shared" si="2"/>
        <v>195.27092378460026</v>
      </c>
      <c r="AF17" s="28">
        <f t="shared" si="3"/>
        <v>-9.7635461892300111</v>
      </c>
      <c r="AG17" s="28">
        <f t="shared" si="3"/>
        <v>-13.229737383780504</v>
      </c>
      <c r="AH17" s="28">
        <f t="shared" si="24"/>
        <v>-24.387222916231124</v>
      </c>
      <c r="AI17" s="28">
        <f t="shared" si="25"/>
        <v>-37.2683112918495</v>
      </c>
      <c r="AJ17" s="28">
        <f t="shared" si="8"/>
        <v>110.62210600350915</v>
      </c>
      <c r="AK17" s="28">
        <f t="shared" si="9"/>
        <v>-80.550914530242608</v>
      </c>
      <c r="AL17" s="28">
        <f t="shared" si="26"/>
        <v>141.36933593648831</v>
      </c>
      <c r="AM17" s="28">
        <f t="shared" si="10"/>
        <v>171.44052740975485</v>
      </c>
      <c r="AN17" s="28">
        <f t="shared" si="11"/>
        <v>11.278814725194479</v>
      </c>
      <c r="AO17" s="28">
        <f t="shared" si="12"/>
        <v>182.71934213494933</v>
      </c>
      <c r="AT17" s="32">
        <f t="shared" si="27"/>
        <v>13</v>
      </c>
      <c r="AU17" s="30">
        <f t="shared" si="28"/>
        <v>0.99142482228534612</v>
      </c>
      <c r="AV17" s="30">
        <f t="shared" si="13"/>
        <v>8.7641954290024594E-4</v>
      </c>
      <c r="AW17" s="9">
        <f>ROUND((1000*NPV($AT$1,$AV18:$AV$79)-$AW$1*($AU18+NPV($AT$1,$AU19:$AU$79)))/AU18,3)</f>
        <v>82.75</v>
      </c>
      <c r="AX17" s="9">
        <f>ROUND(MAX(0,1000*NPV($AT$2,$AV18:$AV$79)-$AW$2*($AU18+NPV($AT$2,$AU19:$AU$79)))/AU18,3)</f>
        <v>33.773000000000003</v>
      </c>
    </row>
    <row r="18" spans="1:50" ht="16" x14ac:dyDescent="0.2">
      <c r="A18" s="37" t="s">
        <v>72</v>
      </c>
      <c r="B18" s="44"/>
      <c r="C18" s="50"/>
      <c r="D18" s="7"/>
      <c r="E18" s="7"/>
      <c r="F18" s="7"/>
      <c r="G18" s="7"/>
      <c r="H18" s="7"/>
      <c r="I18" s="32">
        <f t="shared" si="14"/>
        <v>14</v>
      </c>
      <c r="J18" s="20">
        <f t="shared" si="15"/>
        <v>369</v>
      </c>
      <c r="K18" s="20">
        <f t="shared" si="16"/>
        <v>18.45</v>
      </c>
      <c r="L18" s="21">
        <f t="shared" si="17"/>
        <v>25</v>
      </c>
      <c r="M18" s="20">
        <f t="shared" si="0"/>
        <v>50000</v>
      </c>
      <c r="N18" s="22">
        <f t="shared" si="4"/>
        <v>37.94</v>
      </c>
      <c r="O18" s="33">
        <f t="shared" si="5"/>
        <v>89.244</v>
      </c>
      <c r="P18" s="24">
        <f t="shared" si="6"/>
        <v>1897</v>
      </c>
      <c r="Q18" s="25">
        <f t="shared" si="7"/>
        <v>4462.2</v>
      </c>
      <c r="R18" s="33"/>
      <c r="S18" s="33">
        <v>0.95699999999999996</v>
      </c>
      <c r="T18" s="34">
        <f t="shared" si="29"/>
        <v>0.04</v>
      </c>
      <c r="U18" s="35">
        <f t="shared" si="18"/>
        <v>0.52918949535122017</v>
      </c>
      <c r="V18" s="35">
        <f t="shared" si="19"/>
        <v>5.0643434705111771E-4</v>
      </c>
      <c r="W18" s="35">
        <f t="shared" si="20"/>
        <v>2.1167579814048806E-2</v>
      </c>
      <c r="X18" s="27">
        <f t="shared" si="21"/>
        <v>0.50751548119012024</v>
      </c>
      <c r="Y18" s="36"/>
      <c r="Z18" s="28">
        <f t="shared" si="22"/>
        <v>2189.5215370156734</v>
      </c>
      <c r="AA18" s="28">
        <f t="shared" si="22"/>
        <v>264.59474767561011</v>
      </c>
      <c r="AB18" s="28">
        <f t="shared" si="23"/>
        <v>2264.6355801665545</v>
      </c>
      <c r="AC18" s="28">
        <f t="shared" si="1"/>
        <v>253.75774059506011</v>
      </c>
      <c r="AD18" s="36"/>
      <c r="AE18" s="28">
        <f t="shared" si="2"/>
        <v>187.27321255915436</v>
      </c>
      <c r="AF18" s="28">
        <f t="shared" si="3"/>
        <v>-9.3636606279577173</v>
      </c>
      <c r="AG18" s="28">
        <f t="shared" si="3"/>
        <v>-12.687887029753005</v>
      </c>
      <c r="AH18" s="28">
        <f t="shared" si="24"/>
        <v>-25.321717352555886</v>
      </c>
      <c r="AI18" s="28">
        <f t="shared" si="25"/>
        <v>-40.154898907250583</v>
      </c>
      <c r="AJ18" s="28">
        <f t="shared" si="8"/>
        <v>99.745048641637169</v>
      </c>
      <c r="AK18" s="28">
        <f t="shared" si="9"/>
        <v>-75.114043150881116</v>
      </c>
      <c r="AL18" s="28">
        <f t="shared" si="26"/>
        <v>144.76142101423639</v>
      </c>
      <c r="AM18" s="28">
        <f t="shared" si="10"/>
        <v>169.39242650499244</v>
      </c>
      <c r="AN18" s="28">
        <f t="shared" si="11"/>
        <v>10.837007080549995</v>
      </c>
      <c r="AO18" s="28">
        <f t="shared" si="12"/>
        <v>180.22943358554244</v>
      </c>
      <c r="AT18" s="32">
        <f t="shared" si="27"/>
        <v>14</v>
      </c>
      <c r="AU18" s="30">
        <f t="shared" si="28"/>
        <v>0.99054840274244582</v>
      </c>
      <c r="AV18" s="30">
        <f t="shared" si="13"/>
        <v>9.4795482142452062E-4</v>
      </c>
      <c r="AW18" s="9">
        <f>ROUND((1000*NPV($AT$1,$AV19:$AV$79)-$AW$1*($AU19+NPV($AT$1,$AU20:$AU$79)))/AU19,3)</f>
        <v>89.244</v>
      </c>
      <c r="AX18" s="9">
        <f>ROUND(MAX(0,1000*NPV($AT$2,$AV19:$AV$79)-$AW$2*($AU19+NPV($AT$2,$AU20:$AU$79)))/AU19,3)</f>
        <v>37.94</v>
      </c>
    </row>
    <row r="19" spans="1:50" ht="16" x14ac:dyDescent="0.2">
      <c r="A19" s="37"/>
      <c r="B19" s="15" t="s">
        <v>63</v>
      </c>
      <c r="C19" s="15" t="s">
        <v>64</v>
      </c>
      <c r="D19" s="7"/>
      <c r="E19" s="7"/>
      <c r="F19" s="7"/>
      <c r="G19" s="48"/>
      <c r="H19" s="48"/>
      <c r="I19" s="32">
        <f t="shared" si="14"/>
        <v>15</v>
      </c>
      <c r="J19" s="20">
        <f t="shared" si="15"/>
        <v>369</v>
      </c>
      <c r="K19" s="20">
        <f t="shared" si="16"/>
        <v>18.45</v>
      </c>
      <c r="L19" s="21">
        <f t="shared" si="17"/>
        <v>25</v>
      </c>
      <c r="M19" s="20">
        <f t="shared" si="0"/>
        <v>50000</v>
      </c>
      <c r="N19" s="22">
        <f t="shared" si="4"/>
        <v>42.277999999999999</v>
      </c>
      <c r="O19" s="33">
        <f t="shared" si="5"/>
        <v>95.927000000000007</v>
      </c>
      <c r="P19" s="24">
        <f t="shared" si="6"/>
        <v>2113.9</v>
      </c>
      <c r="Q19" s="25">
        <f t="shared" si="7"/>
        <v>4796.3500000000004</v>
      </c>
      <c r="R19" s="33"/>
      <c r="S19" s="33">
        <v>1.0430000000000001</v>
      </c>
      <c r="T19" s="34">
        <f t="shared" si="29"/>
        <v>0.04</v>
      </c>
      <c r="U19" s="35">
        <f t="shared" si="18"/>
        <v>0.50751548119012024</v>
      </c>
      <c r="V19" s="35">
        <f t="shared" si="19"/>
        <v>5.2933864688129546E-4</v>
      </c>
      <c r="W19" s="35">
        <f t="shared" si="20"/>
        <v>2.0300619247604811E-2</v>
      </c>
      <c r="X19" s="27">
        <f t="shared" si="21"/>
        <v>0.48668552329563414</v>
      </c>
      <c r="Y19" s="36"/>
      <c r="Z19" s="28">
        <f t="shared" si="22"/>
        <v>2264.6355801665545</v>
      </c>
      <c r="AA19" s="28">
        <f t="shared" si="22"/>
        <v>253.75774059506011</v>
      </c>
      <c r="AB19" s="28">
        <f t="shared" si="23"/>
        <v>2334.3141096590148</v>
      </c>
      <c r="AC19" s="28">
        <f t="shared" si="1"/>
        <v>243.34276164781707</v>
      </c>
      <c r="AD19" s="36"/>
      <c r="AE19" s="28">
        <f t="shared" si="2"/>
        <v>179.58695809608901</v>
      </c>
      <c r="AF19" s="28">
        <f t="shared" si="3"/>
        <v>-8.9793479048044489</v>
      </c>
      <c r="AG19" s="28">
        <f t="shared" si="3"/>
        <v>-12.167138082390853</v>
      </c>
      <c r="AH19" s="28">
        <f t="shared" si="24"/>
        <v>-26.466932344064773</v>
      </c>
      <c r="AI19" s="28">
        <f t="shared" si="25"/>
        <v>-42.913479027511812</v>
      </c>
      <c r="AJ19" s="28">
        <f t="shared" si="8"/>
        <v>89.060060737317087</v>
      </c>
      <c r="AK19" s="28">
        <f t="shared" si="9"/>
        <v>-69.678529492460257</v>
      </c>
      <c r="AL19" s="28">
        <f t="shared" si="26"/>
        <v>147.89505120240946</v>
      </c>
      <c r="AM19" s="28">
        <f t="shared" si="10"/>
        <v>167.27658244726629</v>
      </c>
      <c r="AN19" s="28">
        <f t="shared" si="11"/>
        <v>10.414978947243043</v>
      </c>
      <c r="AO19" s="28">
        <f t="shared" si="12"/>
        <v>177.69156139450934</v>
      </c>
      <c r="AT19" s="32">
        <f t="shared" si="27"/>
        <v>15</v>
      </c>
      <c r="AU19" s="30">
        <f t="shared" si="28"/>
        <v>0.98960044792102131</v>
      </c>
      <c r="AV19" s="30">
        <f t="shared" si="13"/>
        <v>1.0321532671816254E-3</v>
      </c>
      <c r="AW19" s="9">
        <f>ROUND((1000*NPV($AT$1,$AV20:$AV$79)-$AW$1*($AU20+NPV($AT$1,$AU21:$AU$79)))/AU20,3)</f>
        <v>95.927000000000007</v>
      </c>
      <c r="AX19" s="9">
        <f>ROUND(MAX(0,1000*NPV($AT$2,$AV20:$AV$79)-$AW$2*($AU20+NPV($AT$2,$AU21:$AU$79)))/AU20,3)</f>
        <v>42.277999999999999</v>
      </c>
    </row>
    <row r="20" spans="1:50" ht="16" x14ac:dyDescent="0.2">
      <c r="A20" s="37"/>
      <c r="B20" s="15">
        <v>1</v>
      </c>
      <c r="C20" s="51">
        <v>200</v>
      </c>
      <c r="D20" s="7"/>
      <c r="E20" s="7"/>
      <c r="F20" s="7"/>
      <c r="G20" s="7"/>
      <c r="H20" s="7"/>
      <c r="I20" s="32">
        <f t="shared" si="14"/>
        <v>16</v>
      </c>
      <c r="J20" s="20">
        <f t="shared" si="15"/>
        <v>369</v>
      </c>
      <c r="K20" s="20">
        <f t="shared" si="16"/>
        <v>18.45</v>
      </c>
      <c r="L20" s="21">
        <f t="shared" si="17"/>
        <v>25</v>
      </c>
      <c r="M20" s="20">
        <f t="shared" si="0"/>
        <v>50000</v>
      </c>
      <c r="N20" s="22">
        <f t="shared" si="4"/>
        <v>46.795000000000002</v>
      </c>
      <c r="O20" s="33">
        <f t="shared" si="5"/>
        <v>102.804</v>
      </c>
      <c r="P20" s="24">
        <f t="shared" si="6"/>
        <v>2339.75</v>
      </c>
      <c r="Q20" s="25">
        <f t="shared" si="7"/>
        <v>5140.2</v>
      </c>
      <c r="R20" s="33"/>
      <c r="S20" s="33">
        <v>1.1329999999999998</v>
      </c>
      <c r="T20" s="34">
        <f t="shared" si="29"/>
        <v>0.04</v>
      </c>
      <c r="U20" s="35">
        <f t="shared" si="18"/>
        <v>0.48668552329563414</v>
      </c>
      <c r="V20" s="35">
        <f t="shared" si="19"/>
        <v>5.5141469789395342E-4</v>
      </c>
      <c r="W20" s="35">
        <f t="shared" si="20"/>
        <v>1.9467420931825366E-2</v>
      </c>
      <c r="X20" s="27">
        <f t="shared" si="21"/>
        <v>0.46666668766591479</v>
      </c>
      <c r="Y20" s="36"/>
      <c r="Z20" s="28">
        <f t="shared" si="22"/>
        <v>2334.3141096590148</v>
      </c>
      <c r="AA20" s="28">
        <f t="shared" si="22"/>
        <v>243.34276164781707</v>
      </c>
      <c r="AB20" s="28">
        <f t="shared" si="23"/>
        <v>2398.7601079403353</v>
      </c>
      <c r="AC20" s="28">
        <f t="shared" si="1"/>
        <v>233.33334383295738</v>
      </c>
      <c r="AD20" s="36"/>
      <c r="AE20" s="28">
        <f t="shared" si="2"/>
        <v>172.20000774872256</v>
      </c>
      <c r="AF20" s="28">
        <f t="shared" si="3"/>
        <v>-8.6100003874361271</v>
      </c>
      <c r="AG20" s="28">
        <f t="shared" si="3"/>
        <v>-11.666667191647869</v>
      </c>
      <c r="AH20" s="28">
        <f t="shared" si="24"/>
        <v>-27.570734894697672</v>
      </c>
      <c r="AI20" s="28">
        <f t="shared" si="25"/>
        <v>-45.548898125238402</v>
      </c>
      <c r="AJ20" s="28">
        <f t="shared" si="8"/>
        <v>78.803707149702518</v>
      </c>
      <c r="AK20" s="28">
        <f t="shared" si="9"/>
        <v>-64.445998281320499</v>
      </c>
      <c r="AL20" s="28">
        <f t="shared" si="26"/>
        <v>150.76857832674651</v>
      </c>
      <c r="AM20" s="28">
        <f t="shared" si="10"/>
        <v>165.12628719512853</v>
      </c>
      <c r="AN20" s="28">
        <f t="shared" si="11"/>
        <v>10.009417814859688</v>
      </c>
      <c r="AO20" s="28">
        <f t="shared" si="12"/>
        <v>175.13570500998821</v>
      </c>
      <c r="AT20" s="32">
        <f t="shared" si="27"/>
        <v>16</v>
      </c>
      <c r="AU20" s="30">
        <f t="shared" si="28"/>
        <v>0.98856829465383966</v>
      </c>
      <c r="AV20" s="30">
        <f t="shared" si="13"/>
        <v>1.1200478778428001E-3</v>
      </c>
      <c r="AW20" s="9">
        <f>ROUND((1000*NPV($AT$1,$AV21:$AV$79)-$AW$1*($AU21+NPV($AT$1,$AU22:$AU$79)))/AU21,3)</f>
        <v>102.804</v>
      </c>
      <c r="AX20" s="9">
        <f>ROUND(MAX(0,1000*NPV($AT$2,$AV21:$AV$79)-$AW$2*($AU21+NPV($AT$2,$AU22:$AU$79)))/AU21,3)</f>
        <v>46.795000000000002</v>
      </c>
    </row>
    <row r="21" spans="1:50" ht="16" x14ac:dyDescent="0.2">
      <c r="A21" s="37"/>
      <c r="B21" s="44" t="s">
        <v>71</v>
      </c>
      <c r="C21" s="51">
        <v>25</v>
      </c>
      <c r="D21" s="7"/>
      <c r="E21" s="7"/>
      <c r="F21" s="7"/>
      <c r="G21" s="48"/>
      <c r="H21" s="48"/>
      <c r="I21" s="32">
        <f t="shared" si="14"/>
        <v>17</v>
      </c>
      <c r="J21" s="20">
        <f t="shared" si="15"/>
        <v>369</v>
      </c>
      <c r="K21" s="20">
        <f t="shared" si="16"/>
        <v>18.45</v>
      </c>
      <c r="L21" s="21">
        <f t="shared" si="17"/>
        <v>25</v>
      </c>
      <c r="M21" s="20">
        <f t="shared" si="0"/>
        <v>50000</v>
      </c>
      <c r="N21" s="22">
        <f t="shared" si="4"/>
        <v>51.508000000000003</v>
      </c>
      <c r="O21" s="33">
        <f t="shared" si="5"/>
        <v>109.88800000000001</v>
      </c>
      <c r="P21" s="24">
        <f t="shared" si="6"/>
        <v>2575.4</v>
      </c>
      <c r="Q21" s="25">
        <f t="shared" si="7"/>
        <v>5494.4</v>
      </c>
      <c r="R21" s="33"/>
      <c r="S21" s="33">
        <v>1.218</v>
      </c>
      <c r="T21" s="34">
        <f t="shared" si="29"/>
        <v>0.04</v>
      </c>
      <c r="U21" s="35">
        <f t="shared" si="18"/>
        <v>0.46666668766591479</v>
      </c>
      <c r="V21" s="35">
        <f t="shared" si="19"/>
        <v>5.6840002557708423E-4</v>
      </c>
      <c r="W21" s="35">
        <f t="shared" si="20"/>
        <v>1.8666667506636592E-2</v>
      </c>
      <c r="X21" s="27">
        <f t="shared" si="21"/>
        <v>0.44743162013370114</v>
      </c>
      <c r="Y21" s="36"/>
      <c r="Z21" s="28">
        <f t="shared" si="22"/>
        <v>2398.7601079403353</v>
      </c>
      <c r="AA21" s="28">
        <f t="shared" si="22"/>
        <v>233.33334383295738</v>
      </c>
      <c r="AB21" s="28">
        <f t="shared" si="23"/>
        <v>2458.3682936626074</v>
      </c>
      <c r="AC21" s="28">
        <f t="shared" si="1"/>
        <v>223.71581006685057</v>
      </c>
      <c r="AD21" s="36"/>
      <c r="AE21" s="28">
        <f t="shared" si="2"/>
        <v>165.10226782933572</v>
      </c>
      <c r="AF21" s="28">
        <f t="shared" si="3"/>
        <v>-8.2551133914667858</v>
      </c>
      <c r="AG21" s="28">
        <f t="shared" si="3"/>
        <v>-11.185790503342528</v>
      </c>
      <c r="AH21" s="28">
        <f t="shared" si="24"/>
        <v>-28.420001278854212</v>
      </c>
      <c r="AI21" s="28">
        <f t="shared" si="25"/>
        <v>-48.074135496591879</v>
      </c>
      <c r="AJ21" s="28">
        <f t="shared" si="8"/>
        <v>69.167227159080312</v>
      </c>
      <c r="AK21" s="28">
        <f t="shared" si="9"/>
        <v>-59.608185722272083</v>
      </c>
      <c r="AL21" s="28">
        <f t="shared" si="26"/>
        <v>153.3917333416139</v>
      </c>
      <c r="AM21" s="28">
        <f t="shared" si="10"/>
        <v>162.95077477842213</v>
      </c>
      <c r="AN21" s="28">
        <f t="shared" si="11"/>
        <v>9.617533766106817</v>
      </c>
      <c r="AO21" s="28">
        <f t="shared" si="12"/>
        <v>172.56830854452895</v>
      </c>
      <c r="AT21" s="32">
        <f t="shared" si="27"/>
        <v>17</v>
      </c>
      <c r="AU21" s="30">
        <f t="shared" si="28"/>
        <v>0.98744824677599685</v>
      </c>
      <c r="AV21" s="30">
        <f t="shared" si="13"/>
        <v>1.2027119645731642E-3</v>
      </c>
      <c r="AW21" s="9">
        <f>ROUND((1000*NPV($AT$1,$AV22:$AV$79)-$AW$1*($AU22+NPV($AT$1,$AU23:$AU$79)))/AU22,3)</f>
        <v>109.88800000000001</v>
      </c>
      <c r="AX21" s="9">
        <f>ROUND(MAX(0,1000*NPV($AT$2,$AV22:$AV$79)-$AW$2*($AU22+NPV($AT$2,$AU23:$AU$79)))/AU22,3)</f>
        <v>51.508000000000003</v>
      </c>
    </row>
    <row r="22" spans="1:50" ht="16" x14ac:dyDescent="0.2">
      <c r="B22" s="7"/>
      <c r="C22" s="7"/>
      <c r="D22" s="7"/>
      <c r="F22" s="7"/>
      <c r="G22" s="7"/>
      <c r="H22" s="7"/>
      <c r="I22" s="32">
        <f t="shared" si="14"/>
        <v>18</v>
      </c>
      <c r="J22" s="20">
        <f t="shared" si="15"/>
        <v>369</v>
      </c>
      <c r="K22" s="20">
        <f t="shared" si="16"/>
        <v>18.45</v>
      </c>
      <c r="L22" s="21">
        <f t="shared" si="17"/>
        <v>25</v>
      </c>
      <c r="M22" s="20">
        <f t="shared" si="0"/>
        <v>50000</v>
      </c>
      <c r="N22" s="22">
        <f t="shared" si="4"/>
        <v>56.447000000000003</v>
      </c>
      <c r="O22" s="33">
        <f t="shared" si="5"/>
        <v>117.205</v>
      </c>
      <c r="P22" s="24">
        <f t="shared" si="6"/>
        <v>2822.35</v>
      </c>
      <c r="Q22" s="25">
        <f t="shared" si="7"/>
        <v>5860.25</v>
      </c>
      <c r="R22" s="33"/>
      <c r="S22" s="33">
        <v>1.2849999999999999</v>
      </c>
      <c r="T22" s="34">
        <f t="shared" si="29"/>
        <v>0.04</v>
      </c>
      <c r="U22" s="35">
        <f t="shared" si="18"/>
        <v>0.44743162013370114</v>
      </c>
      <c r="V22" s="35">
        <f t="shared" si="19"/>
        <v>5.7494963187180591E-4</v>
      </c>
      <c r="W22" s="35">
        <f t="shared" si="20"/>
        <v>1.7897264805348045E-2</v>
      </c>
      <c r="X22" s="27">
        <f t="shared" si="21"/>
        <v>0.42895940569648128</v>
      </c>
      <c r="Y22" s="36"/>
      <c r="Z22" s="28">
        <f t="shared" si="22"/>
        <v>2458.3682936626074</v>
      </c>
      <c r="AA22" s="28">
        <f t="shared" si="22"/>
        <v>223.71581006685057</v>
      </c>
      <c r="AB22" s="28">
        <f t="shared" si="23"/>
        <v>2513.8093572328044</v>
      </c>
      <c r="AC22" s="28">
        <f t="shared" si="1"/>
        <v>214.47970284824063</v>
      </c>
      <c r="AD22" s="36"/>
      <c r="AE22" s="28">
        <f t="shared" si="2"/>
        <v>158.28602070200159</v>
      </c>
      <c r="AF22" s="28">
        <f t="shared" si="3"/>
        <v>-7.9143010351000793</v>
      </c>
      <c r="AG22" s="28">
        <f t="shared" si="3"/>
        <v>-10.723985142412031</v>
      </c>
      <c r="AH22" s="28">
        <f t="shared" si="24"/>
        <v>-28.747481593590294</v>
      </c>
      <c r="AI22" s="28">
        <f t="shared" si="25"/>
        <v>-50.512345323374049</v>
      </c>
      <c r="AJ22" s="28">
        <f t="shared" si="8"/>
        <v>60.38790760752515</v>
      </c>
      <c r="AK22" s="28">
        <f t="shared" si="9"/>
        <v>-55.441063570197002</v>
      </c>
      <c r="AL22" s="28">
        <f t="shared" si="26"/>
        <v>155.78507028679979</v>
      </c>
      <c r="AM22" s="28">
        <f t="shared" si="10"/>
        <v>160.73191432412796</v>
      </c>
      <c r="AN22" s="28">
        <f t="shared" si="11"/>
        <v>9.2361072186099307</v>
      </c>
      <c r="AO22" s="28">
        <f t="shared" si="12"/>
        <v>169.96802154273789</v>
      </c>
      <c r="AT22" s="32">
        <f t="shared" si="27"/>
        <v>18</v>
      </c>
      <c r="AU22" s="30">
        <f t="shared" si="28"/>
        <v>0.98624553481142374</v>
      </c>
      <c r="AV22" s="30">
        <f t="shared" si="13"/>
        <v>1.2673255122326794E-3</v>
      </c>
      <c r="AW22" s="9">
        <f>ROUND((1000*NPV($AT$1,$AV23:$AV$79)-$AW$1*($AU23+NPV($AT$1,$AU24:$AU$79)))/AU23,3)</f>
        <v>117.205</v>
      </c>
      <c r="AX22" s="9">
        <f>ROUND(MAX(0,1000*NPV($AT$2,$AV23:$AV$79)-$AW$2*($AU23+NPV($AT$2,$AU24:$AU$79)))/AU23,3)</f>
        <v>56.447000000000003</v>
      </c>
    </row>
    <row r="23" spans="1:50" ht="16" x14ac:dyDescent="0.2">
      <c r="B23" s="7"/>
      <c r="C23" s="7"/>
      <c r="D23" s="7"/>
      <c r="F23" s="7"/>
      <c r="G23" s="7"/>
      <c r="H23" s="7"/>
      <c r="I23" s="32">
        <f t="shared" si="14"/>
        <v>19</v>
      </c>
      <c r="J23" s="20">
        <f t="shared" si="15"/>
        <v>369</v>
      </c>
      <c r="K23" s="20">
        <f t="shared" si="16"/>
        <v>18.45</v>
      </c>
      <c r="L23" s="21">
        <f t="shared" si="17"/>
        <v>25</v>
      </c>
      <c r="M23" s="20">
        <f t="shared" si="0"/>
        <v>50000</v>
      </c>
      <c r="N23" s="22">
        <f t="shared" si="4"/>
        <v>61.646000000000001</v>
      </c>
      <c r="O23" s="33">
        <f t="shared" si="5"/>
        <v>124.785</v>
      </c>
      <c r="P23" s="24">
        <f t="shared" si="6"/>
        <v>3082.3</v>
      </c>
      <c r="Q23" s="25">
        <f t="shared" si="7"/>
        <v>6239.25</v>
      </c>
      <c r="R23" s="33"/>
      <c r="S23" s="33">
        <v>1.331</v>
      </c>
      <c r="T23" s="34">
        <f t="shared" si="29"/>
        <v>0.04</v>
      </c>
      <c r="U23" s="35">
        <f t="shared" si="18"/>
        <v>0.42895940569648128</v>
      </c>
      <c r="V23" s="35">
        <f t="shared" si="19"/>
        <v>5.7094496898201657E-4</v>
      </c>
      <c r="W23" s="35">
        <f t="shared" si="20"/>
        <v>1.7158376227859252E-2</v>
      </c>
      <c r="X23" s="27">
        <f t="shared" si="21"/>
        <v>0.41123008449963999</v>
      </c>
      <c r="Y23" s="36"/>
      <c r="Z23" s="28">
        <f t="shared" si="22"/>
        <v>2513.8093572328044</v>
      </c>
      <c r="AA23" s="28">
        <f t="shared" si="22"/>
        <v>214.47970284824063</v>
      </c>
      <c r="AB23" s="28">
        <f t="shared" si="23"/>
        <v>2565.767304714379</v>
      </c>
      <c r="AC23" s="28">
        <f t="shared" si="1"/>
        <v>205.61504224981999</v>
      </c>
      <c r="AD23" s="36"/>
      <c r="AE23" s="28">
        <f t="shared" si="2"/>
        <v>151.74390118036715</v>
      </c>
      <c r="AF23" s="28">
        <f t="shared" si="3"/>
        <v>-7.5871950590183577</v>
      </c>
      <c r="AG23" s="28">
        <f t="shared" si="3"/>
        <v>-10.280752112490999</v>
      </c>
      <c r="AH23" s="28">
        <f t="shared" si="24"/>
        <v>-28.547248449100827</v>
      </c>
      <c r="AI23" s="28">
        <f t="shared" si="25"/>
        <v>-52.887263047130574</v>
      </c>
      <c r="AJ23" s="28">
        <f t="shared" si="8"/>
        <v>52.441442512626367</v>
      </c>
      <c r="AK23" s="28">
        <f t="shared" si="9"/>
        <v>-51.957947481574593</v>
      </c>
      <c r="AL23" s="28">
        <f t="shared" si="26"/>
        <v>157.98451714113165</v>
      </c>
      <c r="AM23" s="28">
        <f t="shared" si="10"/>
        <v>158.46801217218342</v>
      </c>
      <c r="AN23" s="28">
        <f t="shared" si="11"/>
        <v>8.8646605984206417</v>
      </c>
      <c r="AO23" s="28">
        <f t="shared" si="12"/>
        <v>167.33267277060406</v>
      </c>
      <c r="AT23" s="32">
        <f t="shared" si="27"/>
        <v>19</v>
      </c>
      <c r="AU23" s="30">
        <f t="shared" si="28"/>
        <v>0.98497820929919111</v>
      </c>
      <c r="AV23" s="30">
        <f t="shared" si="13"/>
        <v>1.3110059965772234E-3</v>
      </c>
      <c r="AW23" s="9">
        <f>ROUND((1000*NPV($AT$1,$AV24:$AV$79)-$AW$1*($AU24+NPV($AT$1,$AU25:$AU$79)))/AU24,3)</f>
        <v>124.785</v>
      </c>
      <c r="AX23" s="9">
        <f>ROUND(MAX(0,1000*NPV($AT$2,$AV24:$AV$79)-$AW$2*($AU24+NPV($AT$2,$AU25:$AU$79)))/AU24,3)</f>
        <v>61.646000000000001</v>
      </c>
    </row>
    <row r="24" spans="1:50" ht="16" x14ac:dyDescent="0.2">
      <c r="B24" s="7"/>
      <c r="C24" s="7"/>
      <c r="D24" s="7"/>
      <c r="F24" s="7"/>
      <c r="G24" s="7"/>
      <c r="H24" s="7"/>
      <c r="I24" s="32">
        <f t="shared" si="14"/>
        <v>20</v>
      </c>
      <c r="J24" s="20">
        <f t="shared" si="15"/>
        <v>369</v>
      </c>
      <c r="K24" s="20">
        <f t="shared" si="16"/>
        <v>18.45</v>
      </c>
      <c r="L24" s="21">
        <f t="shared" si="17"/>
        <v>25</v>
      </c>
      <c r="M24" s="20">
        <f t="shared" si="0"/>
        <v>50000</v>
      </c>
      <c r="N24" s="22">
        <f t="shared" si="4"/>
        <v>67.132999999999996</v>
      </c>
      <c r="O24" s="33">
        <f t="shared" si="5"/>
        <v>132.649</v>
      </c>
      <c r="P24" s="24">
        <f t="shared" si="6"/>
        <v>3356.65</v>
      </c>
      <c r="Q24" s="25">
        <f t="shared" si="7"/>
        <v>6632.45</v>
      </c>
      <c r="R24" s="33"/>
      <c r="S24" s="33">
        <v>1.3639999999999999</v>
      </c>
      <c r="T24" s="34">
        <f t="shared" si="29"/>
        <v>0.04</v>
      </c>
      <c r="U24" s="35">
        <f t="shared" si="18"/>
        <v>0.41123008449963999</v>
      </c>
      <c r="V24" s="35">
        <f t="shared" si="19"/>
        <v>5.6091783525750896E-4</v>
      </c>
      <c r="W24" s="35">
        <f t="shared" si="20"/>
        <v>1.6449203379985601E-2</v>
      </c>
      <c r="X24" s="27">
        <f t="shared" si="21"/>
        <v>0.3942199632843969</v>
      </c>
      <c r="Y24" s="36"/>
      <c r="Z24" s="28">
        <f t="shared" si="22"/>
        <v>2565.767304714379</v>
      </c>
      <c r="AA24" s="28">
        <f t="shared" si="22"/>
        <v>205.61504224981999</v>
      </c>
      <c r="AB24" s="28">
        <f t="shared" si="23"/>
        <v>2614.6441954855982</v>
      </c>
      <c r="AC24" s="28">
        <f t="shared" si="1"/>
        <v>197.10998164219845</v>
      </c>
      <c r="AD24" s="36"/>
      <c r="AE24" s="28">
        <f t="shared" si="2"/>
        <v>145.46716645194246</v>
      </c>
      <c r="AF24" s="28">
        <f t="shared" si="3"/>
        <v>-7.2733583225971223</v>
      </c>
      <c r="AG24" s="28">
        <f t="shared" si="3"/>
        <v>-9.8554990821099224</v>
      </c>
      <c r="AH24" s="28">
        <f t="shared" si="24"/>
        <v>-28.045891762875449</v>
      </c>
      <c r="AI24" s="28">
        <f t="shared" si="25"/>
        <v>-55.21421852542867</v>
      </c>
      <c r="AJ24" s="28">
        <f t="shared" si="8"/>
        <v>45.0781987589313</v>
      </c>
      <c r="AK24" s="28">
        <f t="shared" si="9"/>
        <v>-48.876890771219223</v>
      </c>
      <c r="AL24" s="28">
        <f t="shared" si="26"/>
        <v>160.02668853014492</v>
      </c>
      <c r="AM24" s="28">
        <f t="shared" si="10"/>
        <v>156.22799651785701</v>
      </c>
      <c r="AN24" s="28">
        <f t="shared" si="11"/>
        <v>8.5050606076215445</v>
      </c>
      <c r="AO24" s="28">
        <f t="shared" si="12"/>
        <v>164.73305712547855</v>
      </c>
      <c r="AT24" s="32">
        <f t="shared" si="27"/>
        <v>20</v>
      </c>
      <c r="AU24" s="30">
        <f t="shared" si="28"/>
        <v>0.98366720330261392</v>
      </c>
      <c r="AV24" s="30">
        <f t="shared" si="13"/>
        <v>1.3417220653047653E-3</v>
      </c>
      <c r="AW24" s="9">
        <f>ROUND((1000*NPV($AT$1,$AV25:$AV$79)-$AW$1*($AU25+NPV($AT$1,$AU26:$AU$79)))/AU25,3)</f>
        <v>132.649</v>
      </c>
      <c r="AX24" s="9">
        <f>ROUND(MAX(0,1000*NPV($AT$2,$AV25:$AV$79)-$AW$2*($AU25+NPV($AT$2,$AU26:$AU$79)))/AU25,3)</f>
        <v>67.132999999999996</v>
      </c>
    </row>
    <row r="25" spans="1:50" ht="16" x14ac:dyDescent="0.2">
      <c r="B25" s="7"/>
      <c r="C25" s="52"/>
      <c r="D25" s="48"/>
      <c r="F25" s="7"/>
      <c r="G25" s="52"/>
      <c r="H25" s="53"/>
      <c r="I25" s="32">
        <f>I24+1</f>
        <v>21</v>
      </c>
      <c r="J25" s="20">
        <f t="shared" si="15"/>
        <v>369</v>
      </c>
      <c r="K25" s="20">
        <f t="shared" si="16"/>
        <v>18.45</v>
      </c>
      <c r="L25" s="21">
        <f t="shared" si="17"/>
        <v>25</v>
      </c>
      <c r="M25" s="20">
        <f t="shared" si="0"/>
        <v>50000</v>
      </c>
      <c r="N25" s="22">
        <f t="shared" si="4"/>
        <v>72.927000000000007</v>
      </c>
      <c r="O25" s="33">
        <f t="shared" si="5"/>
        <v>140.81100000000001</v>
      </c>
      <c r="P25" s="24">
        <f t="shared" si="6"/>
        <v>3646.3500000000004</v>
      </c>
      <c r="Q25" s="25">
        <f t="shared" si="7"/>
        <v>7040.55</v>
      </c>
      <c r="R25" s="33"/>
      <c r="S25" s="33">
        <v>1.3960000000000001</v>
      </c>
      <c r="T25" s="34">
        <f t="shared" si="29"/>
        <v>0.04</v>
      </c>
      <c r="U25" s="35">
        <f t="shared" si="18"/>
        <v>0.3942199632843969</v>
      </c>
      <c r="V25" s="35">
        <f t="shared" si="19"/>
        <v>5.5033106874501818E-4</v>
      </c>
      <c r="W25" s="35">
        <f t="shared" si="20"/>
        <v>1.5768798531375878E-2</v>
      </c>
      <c r="X25" s="27">
        <f t="shared" si="21"/>
        <v>0.37790083368427602</v>
      </c>
      <c r="Y25" s="36"/>
      <c r="Z25" s="28">
        <f t="shared" si="22"/>
        <v>2614.6441954855982</v>
      </c>
      <c r="AA25" s="28">
        <f t="shared" si="22"/>
        <v>197.10998164219845</v>
      </c>
      <c r="AB25" s="28">
        <f t="shared" si="23"/>
        <v>2660.6297145958297</v>
      </c>
      <c r="AC25" s="28">
        <f t="shared" si="1"/>
        <v>188.950416842138</v>
      </c>
      <c r="AD25" s="36"/>
      <c r="AE25" s="28">
        <f t="shared" si="2"/>
        <v>139.44540762949785</v>
      </c>
      <c r="AF25" s="28">
        <f t="shared" si="3"/>
        <v>-6.9722703814748925</v>
      </c>
      <c r="AG25" s="28">
        <f t="shared" si="3"/>
        <v>-9.4475208421069006</v>
      </c>
      <c r="AH25" s="28">
        <f t="shared" si="24"/>
        <v>-27.516553437250909</v>
      </c>
      <c r="AI25" s="28">
        <f t="shared" si="25"/>
        <v>-57.498558524882441</v>
      </c>
      <c r="AJ25" s="28">
        <f t="shared" si="8"/>
        <v>38.010504443782722</v>
      </c>
      <c r="AK25" s="28">
        <f t="shared" si="9"/>
        <v>-45.985519110231508</v>
      </c>
      <c r="AL25" s="28">
        <f t="shared" si="26"/>
        <v>161.93250229067007</v>
      </c>
      <c r="AM25" s="28">
        <f t="shared" si="10"/>
        <v>153.9574876242213</v>
      </c>
      <c r="AN25" s="28">
        <f t="shared" si="11"/>
        <v>8.1595648000604513</v>
      </c>
      <c r="AO25" s="28">
        <f t="shared" si="12"/>
        <v>162.11705242428175</v>
      </c>
      <c r="AQ25" s="54"/>
      <c r="AT25" s="32">
        <f>AT24+1</f>
        <v>21</v>
      </c>
      <c r="AU25" s="30">
        <f t="shared" si="28"/>
        <v>0.98232548123730912</v>
      </c>
      <c r="AV25" s="30">
        <f t="shared" si="13"/>
        <v>1.3713263718072837E-3</v>
      </c>
      <c r="AW25" s="9">
        <f>ROUND((1000*NPV($AT$1,$AV26:$AV$79)-$AW$1*($AU26+NPV($AT$1,$AU27:$AU$79)))/AU26,3)</f>
        <v>140.81100000000001</v>
      </c>
      <c r="AX25" s="9">
        <f>ROUND(MAX(0,1000*NPV($AT$2,$AV26:$AV$79)-$AW$2*($AU26+NPV($AT$2,$AU27:$AU$79)))/AU26,3)</f>
        <v>72.927000000000007</v>
      </c>
    </row>
    <row r="26" spans="1:50" ht="16" x14ac:dyDescent="0.2">
      <c r="B26" s="32"/>
      <c r="C26" s="52"/>
      <c r="D26" s="48"/>
      <c r="E26" s="48"/>
      <c r="F26" s="32"/>
      <c r="G26" s="52"/>
      <c r="H26" s="53"/>
      <c r="I26" s="32">
        <f t="shared" si="14"/>
        <v>22</v>
      </c>
      <c r="J26" s="20">
        <f t="shared" si="15"/>
        <v>369</v>
      </c>
      <c r="K26" s="20">
        <f t="shared" si="16"/>
        <v>18.45</v>
      </c>
      <c r="L26" s="21">
        <f t="shared" si="17"/>
        <v>25</v>
      </c>
      <c r="M26" s="20">
        <f t="shared" si="0"/>
        <v>50000</v>
      </c>
      <c r="N26" s="22">
        <f t="shared" si="4"/>
        <v>79.037999999999997</v>
      </c>
      <c r="O26" s="33">
        <f t="shared" si="5"/>
        <v>149.27600000000001</v>
      </c>
      <c r="P26" s="24">
        <f t="shared" si="6"/>
        <v>3951.9</v>
      </c>
      <c r="Q26" s="25">
        <f t="shared" si="7"/>
        <v>7463.8000000000011</v>
      </c>
      <c r="R26" s="33"/>
      <c r="S26" s="33">
        <v>1.4390000000000001</v>
      </c>
      <c r="T26" s="34">
        <f t="shared" si="29"/>
        <v>0.04</v>
      </c>
      <c r="U26" s="35">
        <f t="shared" si="18"/>
        <v>0.37790083368427602</v>
      </c>
      <c r="V26" s="35">
        <f t="shared" si="19"/>
        <v>5.4379929967167319E-4</v>
      </c>
      <c r="W26" s="35">
        <f t="shared" si="20"/>
        <v>1.5116033347371041E-2</v>
      </c>
      <c r="X26" s="27">
        <f t="shared" si="21"/>
        <v>0.36224100103723328</v>
      </c>
      <c r="Y26" s="36"/>
      <c r="Z26" s="28">
        <f t="shared" si="22"/>
        <v>2660.6297145958297</v>
      </c>
      <c r="AA26" s="28">
        <f t="shared" si="22"/>
        <v>188.950416842138</v>
      </c>
      <c r="AB26" s="28">
        <f t="shared" si="23"/>
        <v>2703.6943835417023</v>
      </c>
      <c r="AC26" s="28">
        <f t="shared" si="1"/>
        <v>181.12050051861664</v>
      </c>
      <c r="AD26" s="36"/>
      <c r="AE26" s="28">
        <f t="shared" si="2"/>
        <v>133.66692938273908</v>
      </c>
      <c r="AF26" s="28">
        <f t="shared" si="3"/>
        <v>-6.6833464691369535</v>
      </c>
      <c r="AG26" s="28">
        <f t="shared" si="3"/>
        <v>-9.0560250259308326</v>
      </c>
      <c r="AH26" s="28">
        <f t="shared" si="24"/>
        <v>-27.189964983583661</v>
      </c>
      <c r="AI26" s="28">
        <f t="shared" si="25"/>
        <v>-59.737052185475619</v>
      </c>
      <c r="AJ26" s="28">
        <f t="shared" si="8"/>
        <v>31.000540718612015</v>
      </c>
      <c r="AK26" s="28">
        <f t="shared" si="9"/>
        <v>-43.064668945872654</v>
      </c>
      <c r="AL26" s="28">
        <f t="shared" si="26"/>
        <v>163.71100428933633</v>
      </c>
      <c r="AM26" s="28">
        <f t="shared" si="10"/>
        <v>151.64687606207571</v>
      </c>
      <c r="AN26" s="28">
        <f t="shared" si="11"/>
        <v>7.8299163235213598</v>
      </c>
      <c r="AO26" s="28">
        <f t="shared" si="12"/>
        <v>159.47679238559707</v>
      </c>
      <c r="AQ26" s="54"/>
      <c r="AT26" s="32">
        <f t="shared" si="27"/>
        <v>22</v>
      </c>
      <c r="AU26" s="30">
        <f t="shared" si="28"/>
        <v>0.98095415486550186</v>
      </c>
      <c r="AV26" s="30">
        <f t="shared" si="13"/>
        <v>1.4115930288514573E-3</v>
      </c>
      <c r="AW26" s="9">
        <f>ROUND((1000*NPV($AT$1,$AV27:$AV$79)-$AW$1*($AU27+NPV($AT$1,$AU28:$AU$79)))/AU27,3)</f>
        <v>149.27600000000001</v>
      </c>
      <c r="AX26" s="9">
        <f>ROUND(MAX(0,1000*NPV($AT$2,$AV27:$AV$79)-$AW$2*($AU27+NPV($AT$2,$AU28:$AU$79)))/AU27,3)</f>
        <v>79.037999999999997</v>
      </c>
    </row>
    <row r="27" spans="1:50" ht="16" x14ac:dyDescent="0.2">
      <c r="B27" s="32"/>
      <c r="C27" s="52"/>
      <c r="D27" s="48"/>
      <c r="E27" s="48"/>
      <c r="F27" s="32"/>
      <c r="G27" s="52"/>
      <c r="H27" s="53"/>
      <c r="I27" s="32">
        <f t="shared" si="14"/>
        <v>23</v>
      </c>
      <c r="J27" s="20">
        <f t="shared" si="15"/>
        <v>369</v>
      </c>
      <c r="K27" s="20">
        <f t="shared" si="16"/>
        <v>18.45</v>
      </c>
      <c r="L27" s="21">
        <f t="shared" si="17"/>
        <v>25</v>
      </c>
      <c r="M27" s="20">
        <f t="shared" si="0"/>
        <v>50000</v>
      </c>
      <c r="N27" s="22">
        <f t="shared" si="4"/>
        <v>85.462000000000003</v>
      </c>
      <c r="O27" s="33">
        <f t="shared" si="5"/>
        <v>158.03299999999999</v>
      </c>
      <c r="P27" s="24">
        <f t="shared" si="6"/>
        <v>4273.1000000000004</v>
      </c>
      <c r="Q27" s="25">
        <f t="shared" si="7"/>
        <v>7901.6499999999987</v>
      </c>
      <c r="R27" s="33"/>
      <c r="S27" s="33">
        <v>1.508</v>
      </c>
      <c r="T27" s="34">
        <f t="shared" si="29"/>
        <v>0.04</v>
      </c>
      <c r="U27" s="35">
        <f t="shared" si="18"/>
        <v>0.36224100103723328</v>
      </c>
      <c r="V27" s="35">
        <f t="shared" si="19"/>
        <v>5.4625942956414771E-4</v>
      </c>
      <c r="W27" s="35">
        <f t="shared" si="20"/>
        <v>1.4489640041489331E-2</v>
      </c>
      <c r="X27" s="27">
        <f t="shared" si="21"/>
        <v>0.34720510156617979</v>
      </c>
      <c r="Y27" s="36"/>
      <c r="Z27" s="28">
        <f t="shared" si="22"/>
        <v>2703.6943835417023</v>
      </c>
      <c r="AA27" s="28">
        <f t="shared" si="22"/>
        <v>181.12050051861664</v>
      </c>
      <c r="AB27" s="28">
        <f t="shared" si="23"/>
        <v>2743.4931907904042</v>
      </c>
      <c r="AC27" s="28">
        <f t="shared" si="1"/>
        <v>173.6025507830899</v>
      </c>
      <c r="AD27" s="36"/>
      <c r="AE27" s="28">
        <f t="shared" si="2"/>
        <v>128.11868247792034</v>
      </c>
      <c r="AF27" s="28">
        <f t="shared" si="3"/>
        <v>-6.4059341238960172</v>
      </c>
      <c r="AG27" s="28">
        <f t="shared" si="3"/>
        <v>-8.6801275391544941</v>
      </c>
      <c r="AH27" s="28">
        <f t="shared" si="24"/>
        <v>-27.312971478207384</v>
      </c>
      <c r="AI27" s="28">
        <f t="shared" si="25"/>
        <v>-61.915680861288067</v>
      </c>
      <c r="AJ27" s="28">
        <f t="shared" si="8"/>
        <v>23.803968475374376</v>
      </c>
      <c r="AK27" s="28">
        <f t="shared" si="9"/>
        <v>-39.798807248701905</v>
      </c>
      <c r="AL27" s="28">
        <f t="shared" si="26"/>
        <v>165.35901978278889</v>
      </c>
      <c r="AM27" s="28">
        <f t="shared" si="10"/>
        <v>149.36418100946136</v>
      </c>
      <c r="AN27" s="28">
        <f t="shared" si="11"/>
        <v>7.5179497355267415</v>
      </c>
      <c r="AO27" s="28">
        <f t="shared" si="12"/>
        <v>156.8821307449881</v>
      </c>
      <c r="AQ27" s="54"/>
      <c r="AT27" s="32">
        <f t="shared" si="27"/>
        <v>23</v>
      </c>
      <c r="AU27" s="30">
        <f t="shared" si="28"/>
        <v>0.97954256183665045</v>
      </c>
      <c r="AV27" s="30">
        <f t="shared" si="13"/>
        <v>1.4771501832496689E-3</v>
      </c>
      <c r="AW27" s="9">
        <f>ROUND((1000*NPV($AT$1,$AV28:$AV$79)-$AW$1*($AU28+NPV($AT$1,$AU29:$AU$79)))/AU28,3)</f>
        <v>158.03299999999999</v>
      </c>
      <c r="AX27" s="9">
        <f>ROUND(MAX(0,1000*NPV($AT$2,$AV28:$AV$79)-$AW$2*($AU28+NPV($AT$2,$AU29:$AU$79)))/AU28,3)</f>
        <v>85.462000000000003</v>
      </c>
    </row>
    <row r="28" spans="1:50" ht="16" x14ac:dyDescent="0.2">
      <c r="B28" s="32"/>
      <c r="C28" s="52"/>
      <c r="D28" s="48"/>
      <c r="E28" s="48"/>
      <c r="F28" s="32"/>
      <c r="G28" s="52"/>
      <c r="H28" s="53"/>
      <c r="I28" s="32">
        <f t="shared" si="14"/>
        <v>24</v>
      </c>
      <c r="J28" s="20">
        <f t="shared" si="15"/>
        <v>369</v>
      </c>
      <c r="K28" s="20">
        <f t="shared" si="16"/>
        <v>18.45</v>
      </c>
      <c r="L28" s="21">
        <f t="shared" si="17"/>
        <v>25</v>
      </c>
      <c r="M28" s="20">
        <f t="shared" si="0"/>
        <v>50000</v>
      </c>
      <c r="N28" s="22">
        <f t="shared" si="4"/>
        <v>92.188999999999993</v>
      </c>
      <c r="O28" s="33">
        <f t="shared" si="5"/>
        <v>167.07</v>
      </c>
      <c r="P28" s="24">
        <f t="shared" si="6"/>
        <v>4609.45</v>
      </c>
      <c r="Q28" s="25">
        <f t="shared" si="7"/>
        <v>8353.5</v>
      </c>
      <c r="R28" s="33"/>
      <c r="S28" s="33">
        <v>1.61</v>
      </c>
      <c r="T28" s="34">
        <f t="shared" si="29"/>
        <v>0.04</v>
      </c>
      <c r="U28" s="35">
        <f t="shared" si="18"/>
        <v>0.34720510156617979</v>
      </c>
      <c r="V28" s="35">
        <f t="shared" si="19"/>
        <v>5.5900021352154954E-4</v>
      </c>
      <c r="W28" s="35">
        <f t="shared" si="20"/>
        <v>1.3888204062647192E-2</v>
      </c>
      <c r="X28" s="27">
        <f t="shared" si="21"/>
        <v>0.33275789729001104</v>
      </c>
      <c r="Y28" s="36"/>
      <c r="Z28" s="28">
        <f t="shared" si="22"/>
        <v>2743.4931907904042</v>
      </c>
      <c r="AA28" s="28">
        <f t="shared" si="22"/>
        <v>173.6025507830899</v>
      </c>
      <c r="AB28" s="28">
        <f t="shared" si="23"/>
        <v>2779.6930950121073</v>
      </c>
      <c r="AC28" s="28">
        <f t="shared" si="1"/>
        <v>166.37894864500552</v>
      </c>
      <c r="AD28" s="36"/>
      <c r="AE28" s="28">
        <f t="shared" si="2"/>
        <v>122.78766410001407</v>
      </c>
      <c r="AF28" s="28">
        <f t="shared" si="3"/>
        <v>-6.1393832050007031</v>
      </c>
      <c r="AG28" s="28">
        <f t="shared" si="3"/>
        <v>-8.3189474322502761</v>
      </c>
      <c r="AH28" s="28">
        <f t="shared" si="24"/>
        <v>-27.950010676077476</v>
      </c>
      <c r="AI28" s="28">
        <f t="shared" si="25"/>
        <v>-64.016982216569104</v>
      </c>
      <c r="AJ28" s="28">
        <f t="shared" si="8"/>
        <v>16.362340570116501</v>
      </c>
      <c r="AK28" s="28">
        <f t="shared" si="9"/>
        <v>-36.199904221703036</v>
      </c>
      <c r="AL28" s="28">
        <f t="shared" si="26"/>
        <v>166.85592123576791</v>
      </c>
      <c r="AM28" s="28">
        <f t="shared" si="10"/>
        <v>147.01835758418139</v>
      </c>
      <c r="AN28" s="28">
        <f t="shared" si="11"/>
        <v>7.2236021380843738</v>
      </c>
      <c r="AO28" s="28">
        <f t="shared" si="12"/>
        <v>154.24195972226576</v>
      </c>
      <c r="AQ28" s="54"/>
      <c r="AT28" s="32">
        <f t="shared" si="27"/>
        <v>24</v>
      </c>
      <c r="AU28" s="30">
        <f t="shared" si="28"/>
        <v>0.97806541165340077</v>
      </c>
      <c r="AV28" s="30">
        <f t="shared" si="13"/>
        <v>1.5746853127619753E-3</v>
      </c>
      <c r="AW28" s="9">
        <f>ROUND((1000*NPV($AT$1,$AV29:$AV$79)-$AW$1*($AU29+NPV($AT$1,$AU30:$AU$79)))/AU29,3)</f>
        <v>167.07</v>
      </c>
      <c r="AX28" s="9">
        <f>ROUND(MAX(0,1000*NPV($AT$2,$AV29:$AV$79)-$AW$2*($AU29+NPV($AT$2,$AU30:$AU$79)))/AU29,3)</f>
        <v>92.188999999999993</v>
      </c>
    </row>
    <row r="29" spans="1:50" ht="16" x14ac:dyDescent="0.2">
      <c r="B29" s="32"/>
      <c r="C29" s="52"/>
      <c r="D29" s="48"/>
      <c r="E29" s="48"/>
      <c r="F29" s="32"/>
      <c r="G29" s="52"/>
      <c r="H29" s="53"/>
      <c r="I29" s="32">
        <f t="shared" si="14"/>
        <v>25</v>
      </c>
      <c r="J29" s="20">
        <f t="shared" si="15"/>
        <v>369</v>
      </c>
      <c r="K29" s="20">
        <f t="shared" si="16"/>
        <v>18.45</v>
      </c>
      <c r="L29" s="21">
        <f t="shared" si="17"/>
        <v>25</v>
      </c>
      <c r="M29" s="20">
        <f t="shared" si="0"/>
        <v>50000</v>
      </c>
      <c r="N29" s="22">
        <f t="shared" si="4"/>
        <v>99.203999999999994</v>
      </c>
      <c r="O29" s="33">
        <f t="shared" si="5"/>
        <v>176.36699999999999</v>
      </c>
      <c r="P29" s="24">
        <f t="shared" si="6"/>
        <v>4960.2</v>
      </c>
      <c r="Q29" s="25">
        <f t="shared" si="7"/>
        <v>8818.35</v>
      </c>
      <c r="R29" s="33"/>
      <c r="S29" s="33">
        <v>1.75</v>
      </c>
      <c r="T29" s="34">
        <f t="shared" si="29"/>
        <v>0.04</v>
      </c>
      <c r="U29" s="35">
        <f t="shared" si="18"/>
        <v>0.33275789729001104</v>
      </c>
      <c r="V29" s="35">
        <f t="shared" si="19"/>
        <v>5.8232632025751927E-4</v>
      </c>
      <c r="W29" s="35">
        <f t="shared" si="20"/>
        <v>1.3310315891600442E-2</v>
      </c>
      <c r="X29" s="27">
        <f t="shared" si="21"/>
        <v>0.31886525507815305</v>
      </c>
      <c r="Y29" s="36"/>
      <c r="Z29" s="28">
        <f t="shared" si="22"/>
        <v>2779.6930950121073</v>
      </c>
      <c r="AA29" s="28">
        <f t="shared" si="22"/>
        <v>166.37894864500552</v>
      </c>
      <c r="AB29" s="28">
        <f t="shared" si="23"/>
        <v>2811.8654221184311</v>
      </c>
      <c r="AC29" s="28">
        <f t="shared" si="1"/>
        <v>159.43262753907652</v>
      </c>
      <c r="AD29" s="36"/>
      <c r="AE29" s="28">
        <f t="shared" si="2"/>
        <v>117.66127912383848</v>
      </c>
      <c r="AF29" s="28">
        <f t="shared" si="3"/>
        <v>-5.8830639561919238</v>
      </c>
      <c r="AG29" s="28">
        <f t="shared" si="3"/>
        <v>-7.9716313769538267</v>
      </c>
      <c r="AH29" s="28">
        <f t="shared" si="24"/>
        <v>-29.116316012875963</v>
      </c>
      <c r="AI29" s="28">
        <f t="shared" si="25"/>
        <v>-66.021828885516513</v>
      </c>
      <c r="AJ29" s="28">
        <f t="shared" si="8"/>
        <v>8.6684388923002729</v>
      </c>
      <c r="AK29" s="28">
        <f t="shared" si="9"/>
        <v>-32.172327106323792</v>
      </c>
      <c r="AL29" s="28">
        <f t="shared" si="26"/>
        <v>168.18176423536175</v>
      </c>
      <c r="AM29" s="28">
        <f t="shared" si="10"/>
        <v>144.67787602133825</v>
      </c>
      <c r="AN29" s="28">
        <f t="shared" si="11"/>
        <v>6.9463211059290018</v>
      </c>
      <c r="AO29" s="28">
        <f t="shared" si="12"/>
        <v>151.62419712726725</v>
      </c>
      <c r="AQ29" s="54"/>
      <c r="AT29" s="32">
        <f t="shared" si="27"/>
        <v>25</v>
      </c>
      <c r="AU29" s="30">
        <f t="shared" si="28"/>
        <v>0.97649072634063883</v>
      </c>
      <c r="AV29" s="30">
        <f t="shared" si="13"/>
        <v>1.7088587710961179E-3</v>
      </c>
      <c r="AW29" s="9">
        <f>ROUND((1000*NPV($AT$1,$AV30:$AV$79)-$AW$1*($AU30+NPV($AT$1,$AU31:$AU$79)))/AU30,3)</f>
        <v>176.36699999999999</v>
      </c>
      <c r="AX29" s="9">
        <f>ROUND(MAX(0,1000*NPV($AT$2,$AV30:$AV$79)-$AW$2*($AU30+NPV($AT$2,$AU31:$AU$79)))/AU30,3)</f>
        <v>99.203999999999994</v>
      </c>
    </row>
    <row r="30" spans="1:50" ht="16" x14ac:dyDescent="0.2">
      <c r="B30" s="32"/>
      <c r="C30" s="52"/>
      <c r="D30" s="48"/>
      <c r="E30" s="48"/>
      <c r="F30" s="32"/>
      <c r="G30" s="52"/>
      <c r="H30" s="53"/>
      <c r="I30" s="32">
        <f t="shared" si="14"/>
        <v>26</v>
      </c>
      <c r="J30" s="20">
        <f t="shared" si="15"/>
        <v>369</v>
      </c>
      <c r="K30" s="20">
        <f t="shared" si="16"/>
        <v>18.45</v>
      </c>
      <c r="L30" s="21">
        <f t="shared" si="17"/>
        <v>25</v>
      </c>
      <c r="M30" s="20">
        <f t="shared" si="0"/>
        <v>50000</v>
      </c>
      <c r="N30" s="22">
        <f t="shared" si="4"/>
        <v>106.498</v>
      </c>
      <c r="O30" s="33">
        <f t="shared" si="5"/>
        <v>185.91200000000001</v>
      </c>
      <c r="P30" s="24">
        <f t="shared" si="6"/>
        <v>5324.9</v>
      </c>
      <c r="Q30" s="25">
        <f t="shared" si="7"/>
        <v>9295.6</v>
      </c>
      <c r="R30" s="33"/>
      <c r="S30" s="33">
        <v>1.9239999999999999</v>
      </c>
      <c r="T30" s="34">
        <f t="shared" si="29"/>
        <v>0.04</v>
      </c>
      <c r="U30" s="35">
        <f t="shared" si="18"/>
        <v>0.31886525507815305</v>
      </c>
      <c r="V30" s="35">
        <f t="shared" si="19"/>
        <v>6.134967507703665E-4</v>
      </c>
      <c r="W30" s="35">
        <f t="shared" si="20"/>
        <v>1.2754610203126123E-2</v>
      </c>
      <c r="X30" s="27">
        <f t="shared" si="21"/>
        <v>0.30549714812425655</v>
      </c>
      <c r="Y30" s="36"/>
      <c r="Z30" s="28">
        <f t="shared" si="22"/>
        <v>2811.8654221184311</v>
      </c>
      <c r="AA30" s="28">
        <f t="shared" si="22"/>
        <v>159.43262753907652</v>
      </c>
      <c r="AB30" s="28">
        <f t="shared" si="23"/>
        <v>2839.7792901038392</v>
      </c>
      <c r="AC30" s="28">
        <f t="shared" si="1"/>
        <v>152.74857406212828</v>
      </c>
      <c r="AD30" s="36"/>
      <c r="AE30" s="28">
        <f t="shared" si="2"/>
        <v>112.72844765785067</v>
      </c>
      <c r="AF30" s="28">
        <f t="shared" si="3"/>
        <v>-5.6364223828925333</v>
      </c>
      <c r="AG30" s="28">
        <f t="shared" si="3"/>
        <v>-7.6374287031064139</v>
      </c>
      <c r="AH30" s="28">
        <f t="shared" si="24"/>
        <v>-30.674837538518325</v>
      </c>
      <c r="AI30" s="28">
        <f t="shared" si="25"/>
        <v>-67.917023870626295</v>
      </c>
      <c r="AJ30" s="28">
        <f t="shared" si="8"/>
        <v>0.86273516270709649</v>
      </c>
      <c r="AK30" s="28">
        <f t="shared" si="9"/>
        <v>-27.91386798540816</v>
      </c>
      <c r="AL30" s="28">
        <f t="shared" si="26"/>
        <v>169.31145412128561</v>
      </c>
      <c r="AM30" s="28">
        <f t="shared" si="10"/>
        <v>142.26032129858453</v>
      </c>
      <c r="AN30" s="28">
        <f t="shared" si="11"/>
        <v>6.684053476948236</v>
      </c>
      <c r="AO30" s="28">
        <f t="shared" si="12"/>
        <v>148.94437477553276</v>
      </c>
      <c r="AQ30" s="54"/>
      <c r="AT30" s="32">
        <f t="shared" si="27"/>
        <v>26</v>
      </c>
      <c r="AU30" s="30">
        <f t="shared" si="28"/>
        <v>0.97478186756954266</v>
      </c>
      <c r="AV30" s="30">
        <f t="shared" si="13"/>
        <v>1.8754803132038E-3</v>
      </c>
      <c r="AW30" s="9">
        <f>ROUND((1000*NPV($AT$1,$AV31:$AV$79)-$AW$1*($AU31+NPV($AT$1,$AU32:$AU$79)))/AU31,3)</f>
        <v>185.91200000000001</v>
      </c>
      <c r="AX30" s="9">
        <f>ROUND(MAX(0,1000*NPV($AT$2,$AV31:$AV$79)-$AW$2*($AU31+NPV($AT$2,$AU32:$AU$79)))/AU31,3)</f>
        <v>106.498</v>
      </c>
    </row>
    <row r="31" spans="1:50" ht="16" x14ac:dyDescent="0.2">
      <c r="B31" s="32"/>
      <c r="C31" s="52"/>
      <c r="D31" s="48"/>
      <c r="E31" s="48"/>
      <c r="F31" s="32"/>
      <c r="G31" s="52"/>
      <c r="H31" s="53"/>
      <c r="I31" s="32">
        <f t="shared" si="14"/>
        <v>27</v>
      </c>
      <c r="J31" s="20">
        <f t="shared" si="15"/>
        <v>369</v>
      </c>
      <c r="K31" s="20">
        <f t="shared" si="16"/>
        <v>18.45</v>
      </c>
      <c r="L31" s="21">
        <f t="shared" si="17"/>
        <v>25</v>
      </c>
      <c r="M31" s="20">
        <f t="shared" si="0"/>
        <v>50000</v>
      </c>
      <c r="N31" s="22">
        <f t="shared" si="4"/>
        <v>114.05800000000001</v>
      </c>
      <c r="O31" s="33">
        <f t="shared" si="5"/>
        <v>195.68799999999999</v>
      </c>
      <c r="P31" s="24">
        <f t="shared" si="6"/>
        <v>5702.9</v>
      </c>
      <c r="Q31" s="25">
        <f t="shared" si="7"/>
        <v>9784.4</v>
      </c>
      <c r="R31" s="33"/>
      <c r="S31" s="33">
        <v>2.1339999999999999</v>
      </c>
      <c r="T31" s="34">
        <f t="shared" si="29"/>
        <v>0.04</v>
      </c>
      <c r="U31" s="35">
        <f t="shared" si="18"/>
        <v>0.30549714812425655</v>
      </c>
      <c r="V31" s="35">
        <f t="shared" si="19"/>
        <v>6.5193091409716341E-4</v>
      </c>
      <c r="W31" s="35">
        <f t="shared" si="20"/>
        <v>1.2219885924970262E-2</v>
      </c>
      <c r="X31" s="27">
        <f t="shared" si="21"/>
        <v>0.29262533128518914</v>
      </c>
      <c r="Y31" s="36"/>
      <c r="Z31" s="28">
        <f t="shared" si="22"/>
        <v>2839.7792901038392</v>
      </c>
      <c r="AA31" s="28">
        <f t="shared" si="22"/>
        <v>152.74857406212828</v>
      </c>
      <c r="AB31" s="28">
        <f t="shared" si="23"/>
        <v>2863.1632914268043</v>
      </c>
      <c r="AC31" s="28">
        <f t="shared" si="1"/>
        <v>146.31266564259457</v>
      </c>
      <c r="AD31" s="36"/>
      <c r="AE31" s="28">
        <f t="shared" si="2"/>
        <v>107.9787472442348</v>
      </c>
      <c r="AF31" s="28">
        <f t="shared" si="3"/>
        <v>-5.3989373622117398</v>
      </c>
      <c r="AG31" s="28">
        <f t="shared" si="3"/>
        <v>-7.3156332821297285</v>
      </c>
      <c r="AH31" s="28">
        <f t="shared" si="24"/>
        <v>-32.596545704858173</v>
      </c>
      <c r="AI31" s="28">
        <f t="shared" si="25"/>
        <v>-69.688787441512901</v>
      </c>
      <c r="AJ31" s="28">
        <f t="shared" si="8"/>
        <v>-7.0211565464777408</v>
      </c>
      <c r="AK31" s="28">
        <f t="shared" si="9"/>
        <v>-23.384001322965105</v>
      </c>
      <c r="AL31" s="28">
        <f t="shared" si="26"/>
        <v>170.23092207263949</v>
      </c>
      <c r="AM31" s="28">
        <f t="shared" si="10"/>
        <v>139.82576420319663</v>
      </c>
      <c r="AN31" s="28">
        <f t="shared" si="11"/>
        <v>6.4359084195337175</v>
      </c>
      <c r="AO31" s="28">
        <f t="shared" si="12"/>
        <v>146.26167262273034</v>
      </c>
      <c r="AQ31" s="54"/>
      <c r="AT31" s="32">
        <f t="shared" si="27"/>
        <v>27</v>
      </c>
      <c r="AU31" s="30">
        <f t="shared" si="28"/>
        <v>0.97290638725633882</v>
      </c>
      <c r="AV31" s="30">
        <f t="shared" si="13"/>
        <v>2.0761822304050269E-3</v>
      </c>
      <c r="AW31" s="9">
        <f>ROUND((1000*NPV($AT$1,$AV32:$AV$79)-$AW$1*($AU32+NPV($AT$1,$AU33:$AU$79)))/AU32,3)</f>
        <v>195.68799999999999</v>
      </c>
      <c r="AX31" s="9">
        <f>ROUND(MAX(0,1000*NPV($AT$2,$AV32:$AV$79)-$AW$2*($AU32+NPV($AT$2,$AU33:$AU$79)))/AU32,3)</f>
        <v>114.05800000000001</v>
      </c>
    </row>
    <row r="32" spans="1:50" ht="16" x14ac:dyDescent="0.2">
      <c r="B32" s="32"/>
      <c r="C32" s="52"/>
      <c r="D32" s="48"/>
      <c r="E32" s="48"/>
      <c r="F32" s="32"/>
      <c r="G32" s="52"/>
      <c r="H32" s="53"/>
      <c r="I32" s="32">
        <f t="shared" si="14"/>
        <v>28</v>
      </c>
      <c r="J32" s="20">
        <f t="shared" si="15"/>
        <v>369</v>
      </c>
      <c r="K32" s="20">
        <f t="shared" si="16"/>
        <v>18.45</v>
      </c>
      <c r="L32" s="21">
        <f t="shared" si="17"/>
        <v>25</v>
      </c>
      <c r="M32" s="20">
        <f t="shared" si="0"/>
        <v>50000</v>
      </c>
      <c r="N32" s="22">
        <f t="shared" si="4"/>
        <v>121.875</v>
      </c>
      <c r="O32" s="33">
        <f t="shared" si="5"/>
        <v>205.68299999999999</v>
      </c>
      <c r="P32" s="24">
        <f t="shared" si="6"/>
        <v>6093.75</v>
      </c>
      <c r="Q32" s="25">
        <f t="shared" si="7"/>
        <v>10284.15</v>
      </c>
      <c r="R32" s="33"/>
      <c r="S32" s="33">
        <v>2.3770000000000002</v>
      </c>
      <c r="T32" s="34">
        <f t="shared" si="29"/>
        <v>0.04</v>
      </c>
      <c r="U32" s="35">
        <f t="shared" si="18"/>
        <v>0.29262533128518914</v>
      </c>
      <c r="V32" s="35">
        <f t="shared" si="19"/>
        <v>6.9557041246489455E-4</v>
      </c>
      <c r="W32" s="35">
        <f t="shared" si="20"/>
        <v>1.1705013251407565E-2</v>
      </c>
      <c r="X32" s="27">
        <f t="shared" si="21"/>
        <v>0.28022474762131666</v>
      </c>
      <c r="Y32" s="36"/>
      <c r="Z32" s="28">
        <f t="shared" si="22"/>
        <v>2863.1632914268043</v>
      </c>
      <c r="AA32" s="28">
        <f t="shared" si="22"/>
        <v>146.31266564259457</v>
      </c>
      <c r="AB32" s="28">
        <f t="shared" si="23"/>
        <v>2881.8733382497635</v>
      </c>
      <c r="AC32" s="28">
        <f t="shared" si="1"/>
        <v>140.11237381065834</v>
      </c>
      <c r="AD32" s="36"/>
      <c r="AE32" s="28">
        <f t="shared" si="2"/>
        <v>103.40293187226585</v>
      </c>
      <c r="AF32" s="28">
        <f t="shared" si="3"/>
        <v>-5.1701465936132918</v>
      </c>
      <c r="AG32" s="28">
        <f t="shared" si="3"/>
        <v>-7.0056186905329163</v>
      </c>
      <c r="AH32" s="28">
        <f t="shared" si="24"/>
        <v>-34.778520623244731</v>
      </c>
      <c r="AI32" s="28">
        <f t="shared" si="25"/>
        <v>-71.327424500764849</v>
      </c>
      <c r="AJ32" s="28">
        <f t="shared" si="8"/>
        <v>-14.878778535889936</v>
      </c>
      <c r="AK32" s="28">
        <f t="shared" si="9"/>
        <v>-18.710046822959157</v>
      </c>
      <c r="AL32" s="28">
        <f t="shared" si="26"/>
        <v>170.92398082914283</v>
      </c>
      <c r="AM32" s="28">
        <f t="shared" si="10"/>
        <v>137.33515547029373</v>
      </c>
      <c r="AN32" s="28">
        <f t="shared" si="11"/>
        <v>6.2002918319362266</v>
      </c>
      <c r="AO32" s="28">
        <f t="shared" si="12"/>
        <v>143.53544730222995</v>
      </c>
      <c r="AQ32" s="54"/>
      <c r="AT32" s="32">
        <f t="shared" si="27"/>
        <v>28</v>
      </c>
      <c r="AU32" s="30">
        <f t="shared" si="28"/>
        <v>0.97083020502593376</v>
      </c>
      <c r="AV32" s="30">
        <f t="shared" si="13"/>
        <v>2.3076633973466449E-3</v>
      </c>
      <c r="AW32" s="9">
        <f>ROUND((1000*NPV($AT$1,$AV33:$AV$79)-$AW$1*($AU33+NPV($AT$1,$AU34:$AU$79)))/AU33,3)</f>
        <v>205.68299999999999</v>
      </c>
      <c r="AX32" s="9">
        <f>ROUND(MAX(0,1000*NPV($AT$2,$AV33:$AV$79)-$AW$2*($AU33+NPV($AT$2,$AU34:$AU$79)))/AU33,3)</f>
        <v>121.875</v>
      </c>
    </row>
    <row r="33" spans="2:50" ht="16" x14ac:dyDescent="0.2">
      <c r="B33" s="32"/>
      <c r="C33" s="52"/>
      <c r="D33" s="48"/>
      <c r="E33" s="48"/>
      <c r="F33" s="32"/>
      <c r="G33" s="52"/>
      <c r="H33" s="53"/>
      <c r="I33" s="32">
        <f t="shared" si="14"/>
        <v>29</v>
      </c>
      <c r="J33" s="20">
        <f t="shared" si="15"/>
        <v>369</v>
      </c>
      <c r="K33" s="20">
        <f t="shared" si="16"/>
        <v>18.45</v>
      </c>
      <c r="L33" s="21">
        <f t="shared" si="17"/>
        <v>25</v>
      </c>
      <c r="M33" s="20">
        <f t="shared" si="0"/>
        <v>50000</v>
      </c>
      <c r="N33" s="22">
        <f t="shared" si="4"/>
        <v>129.94</v>
      </c>
      <c r="O33" s="33">
        <f t="shared" si="5"/>
        <v>215.887</v>
      </c>
      <c r="P33" s="24">
        <f t="shared" si="6"/>
        <v>6497</v>
      </c>
      <c r="Q33" s="25">
        <f t="shared" si="7"/>
        <v>10794.35</v>
      </c>
      <c r="R33" s="33"/>
      <c r="S33" s="33">
        <v>2.6519999999999997</v>
      </c>
      <c r="T33" s="34">
        <f t="shared" si="29"/>
        <v>0.04</v>
      </c>
      <c r="U33" s="35">
        <f t="shared" si="18"/>
        <v>0.28022474762131666</v>
      </c>
      <c r="V33" s="35">
        <f t="shared" si="19"/>
        <v>7.4315603069173173E-4</v>
      </c>
      <c r="W33" s="35">
        <f t="shared" si="20"/>
        <v>1.1208989904852666E-2</v>
      </c>
      <c r="X33" s="27">
        <f t="shared" si="21"/>
        <v>0.26827260168577227</v>
      </c>
      <c r="Y33" s="36"/>
      <c r="Z33" s="28">
        <f t="shared" si="22"/>
        <v>2881.8733382497635</v>
      </c>
      <c r="AA33" s="28">
        <f t="shared" si="22"/>
        <v>140.11237381065834</v>
      </c>
      <c r="AB33" s="28">
        <f t="shared" si="23"/>
        <v>2895.828358006816</v>
      </c>
      <c r="AC33" s="28">
        <f t="shared" si="1"/>
        <v>134.13630084288613</v>
      </c>
      <c r="AD33" s="36"/>
      <c r="AE33" s="28">
        <f t="shared" si="2"/>
        <v>98.992590022049967</v>
      </c>
      <c r="AF33" s="28">
        <f t="shared" si="3"/>
        <v>-4.949629501102498</v>
      </c>
      <c r="AG33" s="28">
        <f t="shared" si="3"/>
        <v>-6.7068150421443065</v>
      </c>
      <c r="AH33" s="28">
        <f t="shared" si="24"/>
        <v>-37.157801534586589</v>
      </c>
      <c r="AI33" s="28">
        <f t="shared" si="25"/>
        <v>-72.824807411827763</v>
      </c>
      <c r="AJ33" s="28">
        <f t="shared" si="8"/>
        <v>-22.646463467611191</v>
      </c>
      <c r="AK33" s="28">
        <f t="shared" si="9"/>
        <v>-13.955019757052469</v>
      </c>
      <c r="AL33" s="28">
        <f t="shared" si="26"/>
        <v>171.38157699197532</v>
      </c>
      <c r="AM33" s="28">
        <f t="shared" si="10"/>
        <v>134.78009376731166</v>
      </c>
      <c r="AN33" s="28">
        <f t="shared" si="11"/>
        <v>5.9760729677722111</v>
      </c>
      <c r="AO33" s="28">
        <f t="shared" si="12"/>
        <v>140.75616673508387</v>
      </c>
      <c r="AQ33" s="54"/>
      <c r="AT33" s="32">
        <f t="shared" si="27"/>
        <v>29</v>
      </c>
      <c r="AU33" s="30">
        <f t="shared" si="28"/>
        <v>0.96852254162858709</v>
      </c>
      <c r="AV33" s="30">
        <f t="shared" si="13"/>
        <v>2.5685217803990126E-3</v>
      </c>
      <c r="AW33" s="9">
        <f>ROUND((1000*NPV($AT$1,$AV34:$AV$79)-$AW$1*($AU34+NPV($AT$1,$AU35:$AU$79)))/AU34,3)</f>
        <v>215.887</v>
      </c>
      <c r="AX33" s="9">
        <f>ROUND(MAX(0,1000*NPV($AT$2,$AV34:$AV$79)-$AW$2*($AU34+NPV($AT$2,$AU35:$AU$79)))/AU34,3)</f>
        <v>129.94</v>
      </c>
    </row>
    <row r="34" spans="2:50" ht="16" x14ac:dyDescent="0.2">
      <c r="B34" s="32"/>
      <c r="C34" s="52"/>
      <c r="D34" s="48"/>
      <c r="E34" s="48"/>
      <c r="F34" s="32"/>
      <c r="G34" s="52"/>
      <c r="H34" s="53"/>
      <c r="I34" s="32">
        <f t="shared" si="14"/>
        <v>30</v>
      </c>
      <c r="J34" s="20">
        <f t="shared" si="15"/>
        <v>369</v>
      </c>
      <c r="K34" s="20">
        <f t="shared" si="16"/>
        <v>18.45</v>
      </c>
      <c r="L34" s="21">
        <f t="shared" si="17"/>
        <v>25</v>
      </c>
      <c r="M34" s="20">
        <f t="shared" si="0"/>
        <v>50000</v>
      </c>
      <c r="N34" s="22">
        <f t="shared" si="4"/>
        <v>138.25399999999999</v>
      </c>
      <c r="O34" s="33">
        <f t="shared" si="5"/>
        <v>226.29499999999999</v>
      </c>
      <c r="P34" s="24">
        <f t="shared" si="6"/>
        <v>6912.6999999999989</v>
      </c>
      <c r="Q34" s="25">
        <f t="shared" si="7"/>
        <v>11314.75</v>
      </c>
      <c r="R34" s="33"/>
      <c r="S34" s="33">
        <v>2.9520000000000004</v>
      </c>
      <c r="T34" s="34">
        <f t="shared" si="29"/>
        <v>0.04</v>
      </c>
      <c r="U34" s="35">
        <f t="shared" si="18"/>
        <v>0.26827260168577227</v>
      </c>
      <c r="V34" s="35">
        <f t="shared" si="19"/>
        <v>7.9194072017639984E-4</v>
      </c>
      <c r="W34" s="35">
        <f t="shared" si="20"/>
        <v>1.0730904067430892E-2</v>
      </c>
      <c r="X34" s="27">
        <f t="shared" si="21"/>
        <v>0.25674975689816498</v>
      </c>
      <c r="Y34" s="36"/>
      <c r="Z34" s="28">
        <f t="shared" si="22"/>
        <v>2895.828358006816</v>
      </c>
      <c r="AA34" s="28">
        <f t="shared" si="22"/>
        <v>134.13630084288613</v>
      </c>
      <c r="AB34" s="28">
        <f t="shared" si="23"/>
        <v>2905.0593118635124</v>
      </c>
      <c r="AC34" s="28">
        <f t="shared" si="1"/>
        <v>128.3748784490825</v>
      </c>
      <c r="AD34" s="36"/>
      <c r="AE34" s="28">
        <f t="shared" si="2"/>
        <v>94.740660295422884</v>
      </c>
      <c r="AF34" s="28">
        <f t="shared" si="3"/>
        <v>-4.7370330147711437</v>
      </c>
      <c r="AG34" s="28">
        <f t="shared" si="3"/>
        <v>-6.4187439224541247</v>
      </c>
      <c r="AH34" s="28">
        <f t="shared" si="24"/>
        <v>-39.597036008819991</v>
      </c>
      <c r="AI34" s="28">
        <f t="shared" si="25"/>
        <v>-74.17952054692951</v>
      </c>
      <c r="AJ34" s="28">
        <f t="shared" si="8"/>
        <v>-30.191673197551886</v>
      </c>
      <c r="AK34" s="28">
        <f t="shared" si="9"/>
        <v>-9.2309538566964875</v>
      </c>
      <c r="AL34" s="28">
        <f t="shared" si="26"/>
        <v>171.59825573716947</v>
      </c>
      <c r="AM34" s="28">
        <f t="shared" si="10"/>
        <v>132.17562868292109</v>
      </c>
      <c r="AN34" s="28">
        <f t="shared" si="11"/>
        <v>5.7614223938036275</v>
      </c>
      <c r="AO34" s="28">
        <f t="shared" si="12"/>
        <v>137.93705107672471</v>
      </c>
      <c r="AQ34" s="54"/>
      <c r="AT34" s="32">
        <f t="shared" si="27"/>
        <v>30</v>
      </c>
      <c r="AU34" s="30">
        <f t="shared" si="28"/>
        <v>0.96595401984818807</v>
      </c>
      <c r="AV34" s="30">
        <f t="shared" si="13"/>
        <v>2.8514962665918517E-3</v>
      </c>
      <c r="AW34" s="9">
        <f>ROUND((1000*NPV($AT$1,$AV35:$AV$79)-$AW$1*($AU35+NPV($AT$1,$AU36:$AU$79)))/AU35,3)</f>
        <v>226.29499999999999</v>
      </c>
      <c r="AX34" s="9">
        <f>ROUND(MAX(0,1000*NPV($AT$2,$AV35:$AV$79)-$AW$2*($AU35+NPV($AT$2,$AU36:$AU$79)))/AU35,3)</f>
        <v>138.25399999999999</v>
      </c>
    </row>
    <row r="35" spans="2:50" ht="16" x14ac:dyDescent="0.2">
      <c r="B35" s="32"/>
      <c r="C35" s="52"/>
      <c r="D35" s="48"/>
      <c r="E35" s="48"/>
      <c r="F35" s="32"/>
      <c r="G35" s="52"/>
      <c r="H35" s="53"/>
      <c r="I35" s="32">
        <f t="shared" si="14"/>
        <v>31</v>
      </c>
      <c r="J35" s="20">
        <f t="shared" si="15"/>
        <v>369</v>
      </c>
      <c r="K35" s="20">
        <f t="shared" si="16"/>
        <v>18.45</v>
      </c>
      <c r="L35" s="21">
        <f t="shared" si="17"/>
        <v>25</v>
      </c>
      <c r="M35" s="20">
        <f t="shared" si="0"/>
        <v>50000</v>
      </c>
      <c r="N35" s="22">
        <f t="shared" si="4"/>
        <v>146.82</v>
      </c>
      <c r="O35" s="33">
        <f t="shared" si="5"/>
        <v>236.90700000000001</v>
      </c>
      <c r="P35" s="24">
        <f t="shared" si="6"/>
        <v>7341</v>
      </c>
      <c r="Q35" s="25">
        <f t="shared" si="7"/>
        <v>11845.35</v>
      </c>
      <c r="R35" s="33"/>
      <c r="S35" s="33">
        <v>3.27</v>
      </c>
      <c r="T35" s="34">
        <f t="shared" si="29"/>
        <v>0.04</v>
      </c>
      <c r="U35" s="35">
        <f t="shared" si="18"/>
        <v>0.25674975689816498</v>
      </c>
      <c r="V35" s="35">
        <f t="shared" si="19"/>
        <v>8.3957170505699955E-4</v>
      </c>
      <c r="W35" s="35">
        <f t="shared" si="20"/>
        <v>1.0269990275926599E-2</v>
      </c>
      <c r="X35" s="27">
        <f t="shared" si="21"/>
        <v>0.24564019491718139</v>
      </c>
      <c r="Y35" s="36"/>
      <c r="Z35" s="28">
        <f t="shared" si="22"/>
        <v>2905.0593118635124</v>
      </c>
      <c r="AA35" s="28">
        <f t="shared" si="22"/>
        <v>128.3748784490825</v>
      </c>
      <c r="AB35" s="28">
        <f t="shared" si="23"/>
        <v>2909.6940828622346</v>
      </c>
      <c r="AC35" s="28">
        <f t="shared" si="1"/>
        <v>122.82009745859069</v>
      </c>
      <c r="AD35" s="36"/>
      <c r="AE35" s="28">
        <f t="shared" si="2"/>
        <v>90.641231924439936</v>
      </c>
      <c r="AF35" s="28">
        <f t="shared" si="3"/>
        <v>-4.5320615962219968</v>
      </c>
      <c r="AG35" s="28">
        <f t="shared" si="3"/>
        <v>-6.1410048729295346</v>
      </c>
      <c r="AH35" s="28">
        <f t="shared" si="24"/>
        <v>-41.978585252849975</v>
      </c>
      <c r="AI35" s="28">
        <f t="shared" si="25"/>
        <v>-75.391998615577165</v>
      </c>
      <c r="AJ35" s="28">
        <f t="shared" si="8"/>
        <v>-37.402418413138726</v>
      </c>
      <c r="AK35" s="28">
        <f t="shared" si="9"/>
        <v>-4.6347709987221606</v>
      </c>
      <c r="AL35" s="28">
        <f t="shared" si="26"/>
        <v>171.57488483524472</v>
      </c>
      <c r="AM35" s="28">
        <f t="shared" si="10"/>
        <v>129.53769542338384</v>
      </c>
      <c r="AN35" s="28">
        <f t="shared" si="11"/>
        <v>5.5547809904918068</v>
      </c>
      <c r="AO35" s="28">
        <f t="shared" si="12"/>
        <v>135.09247641387566</v>
      </c>
      <c r="AQ35" s="54"/>
      <c r="AT35" s="32">
        <f t="shared" si="27"/>
        <v>31</v>
      </c>
      <c r="AU35" s="30">
        <f t="shared" si="28"/>
        <v>0.9631025235815962</v>
      </c>
      <c r="AV35" s="30">
        <f t="shared" si="13"/>
        <v>3.1493452521118197E-3</v>
      </c>
      <c r="AW35" s="9">
        <f>ROUND((1000*NPV($AT$1,$AV36:$AV$79)-$AW$1*($AU36+NPV($AT$1,$AU37:$AU$79)))/AU36,3)</f>
        <v>236.90700000000001</v>
      </c>
      <c r="AX35" s="9">
        <f>ROUND(MAX(0,1000*NPV($AT$2,$AV36:$AV$79)-$AW$2*($AU36+NPV($AT$2,$AU37:$AU$79)))/AU36,3)</f>
        <v>146.82</v>
      </c>
    </row>
    <row r="36" spans="2:50" ht="16" x14ac:dyDescent="0.2">
      <c r="B36" s="32"/>
      <c r="C36" s="52"/>
      <c r="D36" s="48"/>
      <c r="E36" s="48"/>
      <c r="F36" s="32"/>
      <c r="G36" s="52"/>
      <c r="H36" s="53"/>
      <c r="I36" s="32">
        <f t="shared" si="14"/>
        <v>32</v>
      </c>
      <c r="J36" s="20">
        <f t="shared" si="15"/>
        <v>369</v>
      </c>
      <c r="K36" s="20">
        <f t="shared" si="16"/>
        <v>18.45</v>
      </c>
      <c r="L36" s="21">
        <f t="shared" si="17"/>
        <v>25</v>
      </c>
      <c r="M36" s="20">
        <f t="shared" si="0"/>
        <v>50000</v>
      </c>
      <c r="N36" s="22">
        <f t="shared" si="4"/>
        <v>155.65199999999999</v>
      </c>
      <c r="O36" s="33">
        <f t="shared" si="5"/>
        <v>247.73400000000001</v>
      </c>
      <c r="P36" s="24">
        <f t="shared" si="6"/>
        <v>7782.5999999999995</v>
      </c>
      <c r="Q36" s="25">
        <f t="shared" si="7"/>
        <v>12386.7</v>
      </c>
      <c r="R36" s="33"/>
      <c r="S36" s="33">
        <v>3.597</v>
      </c>
      <c r="T36" s="34">
        <f t="shared" si="29"/>
        <v>0.04</v>
      </c>
      <c r="U36" s="35">
        <f t="shared" si="18"/>
        <v>0.24564019491718139</v>
      </c>
      <c r="V36" s="35">
        <f t="shared" si="19"/>
        <v>8.8356778111710148E-4</v>
      </c>
      <c r="W36" s="35">
        <f t="shared" si="20"/>
        <v>9.8256077966872562E-3</v>
      </c>
      <c r="X36" s="27">
        <f t="shared" si="21"/>
        <v>0.23493101933937705</v>
      </c>
      <c r="Y36" s="36"/>
      <c r="Z36" s="28">
        <f t="shared" si="22"/>
        <v>2909.6940828622346</v>
      </c>
      <c r="AA36" s="28">
        <f t="shared" si="22"/>
        <v>122.82009745859069</v>
      </c>
      <c r="AB36" s="28">
        <f t="shared" si="23"/>
        <v>2910.0200572510616</v>
      </c>
      <c r="AC36" s="28">
        <f t="shared" si="1"/>
        <v>117.46550966968853</v>
      </c>
      <c r="AD36" s="36"/>
      <c r="AE36" s="28">
        <f t="shared" si="2"/>
        <v>86.689546136230135</v>
      </c>
      <c r="AF36" s="28">
        <f t="shared" ref="AF36:AG56" si="30">-$X36*K36</f>
        <v>-4.3344773068115066</v>
      </c>
      <c r="AG36" s="28">
        <f t="shared" si="30"/>
        <v>-5.8732754834844263</v>
      </c>
      <c r="AH36" s="28">
        <f t="shared" si="24"/>
        <v>-44.178389055855071</v>
      </c>
      <c r="AI36" s="28">
        <f t="shared" si="25"/>
        <v>-76.468775238498239</v>
      </c>
      <c r="AJ36" s="28">
        <f t="shared" si="8"/>
        <v>-44.165370948419103</v>
      </c>
      <c r="AK36" s="28">
        <f t="shared" si="9"/>
        <v>-0.325974388827035</v>
      </c>
      <c r="AL36" s="28">
        <f t="shared" si="26"/>
        <v>171.31780870326341</v>
      </c>
      <c r="AM36" s="28">
        <f t="shared" si="10"/>
        <v>126.82646336601726</v>
      </c>
      <c r="AN36" s="28">
        <f t="shared" si="11"/>
        <v>5.3545877889021654</v>
      </c>
      <c r="AO36" s="28">
        <f t="shared" si="12"/>
        <v>132.18105115491943</v>
      </c>
      <c r="AQ36" s="54"/>
      <c r="AT36" s="32">
        <f t="shared" si="27"/>
        <v>32</v>
      </c>
      <c r="AU36" s="30">
        <f t="shared" si="28"/>
        <v>0.95995317832948435</v>
      </c>
      <c r="AV36" s="30">
        <f t="shared" si="13"/>
        <v>3.4529515824511551E-3</v>
      </c>
      <c r="AW36" s="9">
        <f>ROUND((1000*NPV($AT$1,$AV37:$AV$79)-$AW$1*($AU37+NPV($AT$1,$AU38:$AU$79)))/AU37,3)</f>
        <v>247.73400000000001</v>
      </c>
      <c r="AX36" s="9">
        <f>ROUND(MAX(0,1000*NPV($AT$2,$AV37:$AV$79)-$AW$2*($AU37+NPV($AT$2,$AU38:$AU$79)))/AU37,3)</f>
        <v>155.65199999999999</v>
      </c>
    </row>
    <row r="37" spans="2:50" ht="16" x14ac:dyDescent="0.2">
      <c r="B37" s="32"/>
      <c r="C37" s="52"/>
      <c r="D37" s="48"/>
      <c r="E37" s="48"/>
      <c r="F37" s="32"/>
      <c r="G37" s="52"/>
      <c r="H37" s="53"/>
      <c r="I37" s="32">
        <f t="shared" si="14"/>
        <v>33</v>
      </c>
      <c r="J37" s="20">
        <f t="shared" si="15"/>
        <v>369</v>
      </c>
      <c r="K37" s="20">
        <f t="shared" si="16"/>
        <v>18.45</v>
      </c>
      <c r="L37" s="21">
        <f t="shared" si="17"/>
        <v>25</v>
      </c>
      <c r="M37" s="20">
        <f t="shared" si="0"/>
        <v>50000</v>
      </c>
      <c r="N37" s="22">
        <f t="shared" si="4"/>
        <v>164.773</v>
      </c>
      <c r="O37" s="33">
        <f t="shared" si="5"/>
        <v>258.78899999999999</v>
      </c>
      <c r="P37" s="24">
        <f t="shared" si="6"/>
        <v>8238.65</v>
      </c>
      <c r="Q37" s="25">
        <f t="shared" si="7"/>
        <v>12939.45</v>
      </c>
      <c r="R37" s="33"/>
      <c r="S37" s="33">
        <v>3.9259999999999997</v>
      </c>
      <c r="T37" s="34">
        <f t="shared" si="29"/>
        <v>0.04</v>
      </c>
      <c r="U37" s="35">
        <f t="shared" si="18"/>
        <v>0.23493101933937705</v>
      </c>
      <c r="V37" s="35">
        <f t="shared" si="19"/>
        <v>9.2233918192639419E-4</v>
      </c>
      <c r="W37" s="35">
        <f t="shared" si="20"/>
        <v>9.3972407735750819E-3</v>
      </c>
      <c r="X37" s="27">
        <f t="shared" si="21"/>
        <v>0.22461143938387557</v>
      </c>
      <c r="Y37" s="36"/>
      <c r="Z37" s="28">
        <f t="shared" si="22"/>
        <v>2910.0200572510616</v>
      </c>
      <c r="AA37" s="28">
        <f t="shared" si="22"/>
        <v>117.46550966968853</v>
      </c>
      <c r="AB37" s="28">
        <f t="shared" si="23"/>
        <v>2906.348489335689</v>
      </c>
      <c r="AC37" s="28">
        <f t="shared" si="1"/>
        <v>112.30571969193778</v>
      </c>
      <c r="AD37" s="36"/>
      <c r="AE37" s="28">
        <f t="shared" si="2"/>
        <v>82.881621132650082</v>
      </c>
      <c r="AF37" s="28">
        <f t="shared" si="30"/>
        <v>-4.1440810566325039</v>
      </c>
      <c r="AG37" s="28">
        <f t="shared" si="30"/>
        <v>-5.6152859845968894</v>
      </c>
      <c r="AH37" s="28">
        <f t="shared" si="24"/>
        <v>-46.116959096319711</v>
      </c>
      <c r="AI37" s="28">
        <f t="shared" si="25"/>
        <v>-77.420577699214348</v>
      </c>
      <c r="AJ37" s="28">
        <f t="shared" si="8"/>
        <v>-50.415282704113373</v>
      </c>
      <c r="AK37" s="28">
        <f t="shared" si="9"/>
        <v>3.6715679153726342</v>
      </c>
      <c r="AL37" s="28">
        <f t="shared" si="26"/>
        <v>170.84227088482223</v>
      </c>
      <c r="AM37" s="28">
        <f t="shared" si="10"/>
        <v>124.0985560960815</v>
      </c>
      <c r="AN37" s="28">
        <f t="shared" si="11"/>
        <v>5.1597899777507479</v>
      </c>
      <c r="AO37" s="28">
        <f t="shared" si="12"/>
        <v>129.25834607383223</v>
      </c>
      <c r="AQ37" s="54"/>
      <c r="AT37" s="32">
        <f t="shared" si="27"/>
        <v>33</v>
      </c>
      <c r="AU37" s="30">
        <f t="shared" si="28"/>
        <v>0.95650022674703317</v>
      </c>
      <c r="AV37" s="30">
        <f t="shared" si="13"/>
        <v>3.7552198902088517E-3</v>
      </c>
      <c r="AW37" s="9">
        <f>ROUND((1000*NPV($AT$1,$AV38:$AV$79)-$AW$1*($AU38+NPV($AT$1,$AU39:$AU$79)))/AU38,3)</f>
        <v>258.78899999999999</v>
      </c>
      <c r="AX37" s="9">
        <f>ROUND(MAX(0,1000*NPV($AT$2,$AV38:$AV$79)-$AW$2*($AU38+NPV($AT$2,$AU39:$AU$79)))/AU38,3)</f>
        <v>164.773</v>
      </c>
    </row>
    <row r="38" spans="2:50" ht="16" x14ac:dyDescent="0.2">
      <c r="B38" s="32"/>
      <c r="C38" s="52"/>
      <c r="D38" s="48"/>
      <c r="E38" s="48"/>
      <c r="F38" s="32"/>
      <c r="G38" s="52"/>
      <c r="H38" s="53"/>
      <c r="I38" s="32">
        <f t="shared" si="14"/>
        <v>34</v>
      </c>
      <c r="J38" s="20">
        <f t="shared" si="15"/>
        <v>369</v>
      </c>
      <c r="K38" s="20">
        <f t="shared" si="16"/>
        <v>18.45</v>
      </c>
      <c r="L38" s="21">
        <f t="shared" si="17"/>
        <v>25</v>
      </c>
      <c r="M38" s="20">
        <f t="shared" si="0"/>
        <v>50000</v>
      </c>
      <c r="N38" s="22">
        <f t="shared" si="4"/>
        <v>174.21</v>
      </c>
      <c r="O38" s="33">
        <f t="shared" si="5"/>
        <v>270.09399999999999</v>
      </c>
      <c r="P38" s="24">
        <f t="shared" si="6"/>
        <v>8710.5</v>
      </c>
      <c r="Q38" s="25">
        <f t="shared" si="7"/>
        <v>13504.7</v>
      </c>
      <c r="R38" s="33"/>
      <c r="S38" s="33">
        <v>4.2509999999999994</v>
      </c>
      <c r="T38" s="34">
        <f t="shared" si="29"/>
        <v>0.04</v>
      </c>
      <c r="U38" s="35">
        <f t="shared" si="18"/>
        <v>0.22461143938387557</v>
      </c>
      <c r="V38" s="35">
        <f t="shared" si="19"/>
        <v>9.5482322882085489E-4</v>
      </c>
      <c r="W38" s="35">
        <f t="shared" si="20"/>
        <v>8.9844575753550236E-3</v>
      </c>
      <c r="X38" s="27">
        <f t="shared" si="21"/>
        <v>0.21467215857969968</v>
      </c>
      <c r="Y38" s="36"/>
      <c r="Z38" s="28">
        <f t="shared" si="22"/>
        <v>2906.348489335689</v>
      </c>
      <c r="AA38" s="28">
        <f t="shared" si="22"/>
        <v>112.30571969193778</v>
      </c>
      <c r="AB38" s="28">
        <f t="shared" si="23"/>
        <v>2899.0830999712703</v>
      </c>
      <c r="AC38" s="28">
        <f t="shared" si="1"/>
        <v>107.33607928984983</v>
      </c>
      <c r="AD38" s="36"/>
      <c r="AE38" s="28">
        <f t="shared" si="2"/>
        <v>79.214026515909183</v>
      </c>
      <c r="AF38" s="28">
        <f t="shared" si="30"/>
        <v>-3.9607013257954589</v>
      </c>
      <c r="AG38" s="28">
        <f t="shared" si="30"/>
        <v>-5.3668039644924921</v>
      </c>
      <c r="AH38" s="28">
        <f t="shared" si="24"/>
        <v>-47.741161441042742</v>
      </c>
      <c r="AI38" s="28">
        <f t="shared" si="25"/>
        <v>-78.259117710129928</v>
      </c>
      <c r="AJ38" s="28">
        <f t="shared" si="8"/>
        <v>-56.113757925551432</v>
      </c>
      <c r="AK38" s="28">
        <f t="shared" si="9"/>
        <v>7.2653893644187519</v>
      </c>
      <c r="AL38" s="28">
        <f t="shared" si="26"/>
        <v>170.16491438197571</v>
      </c>
      <c r="AM38" s="28">
        <f t="shared" si="10"/>
        <v>121.31654582084303</v>
      </c>
      <c r="AN38" s="28">
        <f t="shared" si="11"/>
        <v>4.969640402087947</v>
      </c>
      <c r="AO38" s="28">
        <f t="shared" si="12"/>
        <v>126.28618622293098</v>
      </c>
      <c r="AQ38" s="54"/>
      <c r="AT38" s="32">
        <f t="shared" si="27"/>
        <v>34</v>
      </c>
      <c r="AU38" s="30">
        <f t="shared" si="28"/>
        <v>0.95274500685682428</v>
      </c>
      <c r="AV38" s="30">
        <f t="shared" si="13"/>
        <v>4.0501190241483591E-3</v>
      </c>
      <c r="AW38" s="9">
        <f>ROUND((1000*NPV($AT$1,$AV39:$AV$79)-$AW$1*($AU39+NPV($AT$1,$AU40:$AU$79)))/AU39,3)</f>
        <v>270.09399999999999</v>
      </c>
      <c r="AX38" s="9">
        <f>ROUND(MAX(0,1000*NPV($AT$2,$AV39:$AV$79)-$AW$2*($AU39+NPV($AT$2,$AU40:$AU$79)))/AU39,3)</f>
        <v>174.21</v>
      </c>
    </row>
    <row r="39" spans="2:50" ht="16" x14ac:dyDescent="0.2">
      <c r="B39" s="32"/>
      <c r="C39" s="52"/>
      <c r="D39" s="48"/>
      <c r="E39" s="48"/>
      <c r="F39" s="32"/>
      <c r="G39" s="52"/>
      <c r="H39" s="53"/>
      <c r="I39" s="32">
        <f t="shared" si="14"/>
        <v>35</v>
      </c>
      <c r="J39" s="20">
        <f t="shared" si="15"/>
        <v>369</v>
      </c>
      <c r="K39" s="20">
        <f t="shared" si="16"/>
        <v>18.45</v>
      </c>
      <c r="L39" s="21">
        <f t="shared" si="17"/>
        <v>25</v>
      </c>
      <c r="M39" s="20">
        <f t="shared" si="0"/>
        <v>50000</v>
      </c>
      <c r="N39" s="22">
        <f t="shared" si="4"/>
        <v>183.98500000000001</v>
      </c>
      <c r="O39" s="33">
        <f t="shared" si="5"/>
        <v>281.66300000000001</v>
      </c>
      <c r="P39" s="24">
        <f t="shared" si="6"/>
        <v>9199.25</v>
      </c>
      <c r="Q39" s="25">
        <f t="shared" si="7"/>
        <v>14083.15</v>
      </c>
      <c r="R39" s="33"/>
      <c r="S39" s="33">
        <v>4.5810000000000004</v>
      </c>
      <c r="T39" s="34">
        <f t="shared" si="29"/>
        <v>0.04</v>
      </c>
      <c r="U39" s="35">
        <f t="shared" si="18"/>
        <v>0.21467215857969968</v>
      </c>
      <c r="V39" s="35">
        <f t="shared" si="19"/>
        <v>9.8341315845360423E-4</v>
      </c>
      <c r="W39" s="35">
        <f t="shared" si="20"/>
        <v>8.5868863431879869E-3</v>
      </c>
      <c r="X39" s="27">
        <f t="shared" si="21"/>
        <v>0.20510185907805809</v>
      </c>
      <c r="Y39" s="36"/>
      <c r="Z39" s="28">
        <f t="shared" si="22"/>
        <v>2899.0830999712703</v>
      </c>
      <c r="AA39" s="28">
        <f t="shared" si="22"/>
        <v>107.33607928984983</v>
      </c>
      <c r="AB39" s="28">
        <f t="shared" si="23"/>
        <v>2888.4802466751535</v>
      </c>
      <c r="AC39" s="28">
        <f t="shared" si="1"/>
        <v>102.55092953902904</v>
      </c>
      <c r="AD39" s="36"/>
      <c r="AE39" s="28">
        <f t="shared" si="2"/>
        <v>75.682585999803436</v>
      </c>
      <c r="AF39" s="28">
        <f t="shared" si="30"/>
        <v>-3.7841292999901714</v>
      </c>
      <c r="AG39" s="28">
        <f t="shared" si="30"/>
        <v>-5.1275464769514523</v>
      </c>
      <c r="AH39" s="28">
        <f t="shared" si="24"/>
        <v>-49.170657922680213</v>
      </c>
      <c r="AI39" s="28">
        <f t="shared" si="25"/>
        <v>-78.992914192572087</v>
      </c>
      <c r="AJ39" s="28">
        <f t="shared" si="8"/>
        <v>-61.392661892390485</v>
      </c>
      <c r="AK39" s="28">
        <f t="shared" si="9"/>
        <v>10.602853296116791</v>
      </c>
      <c r="AL39" s="28">
        <f t="shared" si="26"/>
        <v>169.30746997785133</v>
      </c>
      <c r="AM39" s="28">
        <f t="shared" si="10"/>
        <v>118.51766138157762</v>
      </c>
      <c r="AN39" s="28">
        <f t="shared" si="11"/>
        <v>4.7851497508207927</v>
      </c>
      <c r="AO39" s="28">
        <f t="shared" si="12"/>
        <v>123.30281113239842</v>
      </c>
      <c r="AQ39" s="54"/>
      <c r="AT39" s="32">
        <f t="shared" si="27"/>
        <v>35</v>
      </c>
      <c r="AU39" s="30">
        <f t="shared" si="28"/>
        <v>0.94869488783267597</v>
      </c>
      <c r="AV39" s="30">
        <f t="shared" si="13"/>
        <v>4.3459712811614896E-3</v>
      </c>
      <c r="AW39" s="9">
        <f>ROUND((1000*NPV($AT$1,$AV40:$AV$79)-$AW$1*($AU40+NPV($AT$1,$AU41:$AU$79)))/AU40,3)</f>
        <v>281.66300000000001</v>
      </c>
      <c r="AX39" s="9">
        <f>ROUND(MAX(0,1000*NPV($AT$2,$AV40:$AV$79)-$AW$2*($AU40+NPV($AT$2,$AU41:$AU$79)))/AU40,3)</f>
        <v>183.98500000000001</v>
      </c>
    </row>
    <row r="40" spans="2:50" ht="16" x14ac:dyDescent="0.2">
      <c r="B40" s="32"/>
      <c r="C40" s="52"/>
      <c r="D40" s="48"/>
      <c r="E40" s="48"/>
      <c r="F40" s="32"/>
      <c r="G40" s="52"/>
      <c r="H40" s="53"/>
      <c r="I40" s="32">
        <f t="shared" si="14"/>
        <v>36</v>
      </c>
      <c r="J40" s="20">
        <f t="shared" si="15"/>
        <v>369</v>
      </c>
      <c r="K40" s="20">
        <f t="shared" si="16"/>
        <v>18.45</v>
      </c>
      <c r="L40" s="21">
        <f t="shared" si="17"/>
        <v>25</v>
      </c>
      <c r="M40" s="20">
        <f t="shared" si="0"/>
        <v>50000</v>
      </c>
      <c r="N40" s="22">
        <f t="shared" si="4"/>
        <v>194.114</v>
      </c>
      <c r="O40" s="33">
        <f t="shared" si="5"/>
        <v>293.505</v>
      </c>
      <c r="P40" s="24">
        <f t="shared" si="6"/>
        <v>9705.7000000000007</v>
      </c>
      <c r="Q40" s="25">
        <f t="shared" si="7"/>
        <v>14675.25</v>
      </c>
      <c r="R40" s="33"/>
      <c r="S40" s="33">
        <v>4.9269999999999996</v>
      </c>
      <c r="T40" s="34">
        <f t="shared" si="29"/>
        <v>0.04</v>
      </c>
      <c r="U40" s="35">
        <f t="shared" si="18"/>
        <v>0.20510185907805809</v>
      </c>
      <c r="V40" s="35">
        <f t="shared" si="19"/>
        <v>1.0105368596775922E-3</v>
      </c>
      <c r="W40" s="35">
        <f t="shared" si="20"/>
        <v>8.2040743631223243E-3</v>
      </c>
      <c r="X40" s="27">
        <f t="shared" si="21"/>
        <v>0.19588724785525816</v>
      </c>
      <c r="Y40" s="36"/>
      <c r="Z40" s="28">
        <f t="shared" si="22"/>
        <v>2888.4802466751535</v>
      </c>
      <c r="AA40" s="28">
        <f t="shared" si="22"/>
        <v>102.55092953902904</v>
      </c>
      <c r="AB40" s="28">
        <f t="shared" si="23"/>
        <v>2874.6943340878775</v>
      </c>
      <c r="AC40" s="28">
        <f t="shared" si="1"/>
        <v>97.943623927629076</v>
      </c>
      <c r="AD40" s="36"/>
      <c r="AE40" s="28">
        <f t="shared" si="2"/>
        <v>72.282394458590261</v>
      </c>
      <c r="AF40" s="28">
        <f t="shared" si="30"/>
        <v>-3.6141197229295128</v>
      </c>
      <c r="AG40" s="28">
        <f t="shared" si="30"/>
        <v>-4.897181196381454</v>
      </c>
      <c r="AH40" s="28">
        <f t="shared" si="24"/>
        <v>-50.526842983879611</v>
      </c>
      <c r="AI40" s="28">
        <f t="shared" si="25"/>
        <v>-79.626284546156356</v>
      </c>
      <c r="AJ40" s="28">
        <f t="shared" si="8"/>
        <v>-66.382033990756668</v>
      </c>
      <c r="AK40" s="28">
        <f t="shared" si="9"/>
        <v>13.785912587276016</v>
      </c>
      <c r="AL40" s="28">
        <f t="shared" si="26"/>
        <v>168.28346980224137</v>
      </c>
      <c r="AM40" s="28">
        <f t="shared" si="10"/>
        <v>115.68734839876072</v>
      </c>
      <c r="AN40" s="28">
        <f t="shared" si="11"/>
        <v>4.6073056113999655</v>
      </c>
      <c r="AO40" s="28">
        <f t="shared" si="12"/>
        <v>120.29465401016068</v>
      </c>
      <c r="AQ40" s="54"/>
      <c r="AT40" s="32">
        <f t="shared" si="27"/>
        <v>36</v>
      </c>
      <c r="AU40" s="30">
        <f t="shared" si="28"/>
        <v>0.94434891655151443</v>
      </c>
      <c r="AV40" s="30">
        <f t="shared" si="13"/>
        <v>4.6528071118493112E-3</v>
      </c>
      <c r="AW40" s="9">
        <f>ROUND((1000*NPV($AT$1,$AV41:$AV$79)-$AW$1*($AU41+NPV($AT$1,$AU42:$AU$79)))/AU41,3)</f>
        <v>293.505</v>
      </c>
      <c r="AX40" s="9">
        <f>ROUND(MAX(0,1000*NPV($AT$2,$AV41:$AV$79)-$AW$2*($AU41+NPV($AT$2,$AU42:$AU$79)))/AU41,3)</f>
        <v>194.114</v>
      </c>
    </row>
    <row r="41" spans="2:50" ht="16" x14ac:dyDescent="0.2">
      <c r="B41" s="32"/>
      <c r="C41" s="52"/>
      <c r="D41" s="48"/>
      <c r="E41" s="48"/>
      <c r="F41" s="32"/>
      <c r="G41" s="52"/>
      <c r="H41" s="53"/>
      <c r="I41" s="32">
        <f t="shared" si="14"/>
        <v>37</v>
      </c>
      <c r="J41" s="20">
        <f t="shared" si="15"/>
        <v>369</v>
      </c>
      <c r="K41" s="20">
        <f t="shared" si="16"/>
        <v>18.45</v>
      </c>
      <c r="L41" s="21">
        <f t="shared" si="17"/>
        <v>25</v>
      </c>
      <c r="M41" s="20">
        <f t="shared" si="0"/>
        <v>50000</v>
      </c>
      <c r="N41" s="22">
        <f t="shared" si="4"/>
        <v>204.60599999999999</v>
      </c>
      <c r="O41" s="33">
        <f t="shared" si="5"/>
        <v>305.62099999999998</v>
      </c>
      <c r="P41" s="24">
        <f t="shared" si="6"/>
        <v>10230.299999999999</v>
      </c>
      <c r="Q41" s="25">
        <f t="shared" si="7"/>
        <v>15281.049999999997</v>
      </c>
      <c r="R41" s="33"/>
      <c r="S41" s="33">
        <v>5.3</v>
      </c>
      <c r="T41" s="34">
        <f t="shared" si="29"/>
        <v>0.04</v>
      </c>
      <c r="U41" s="35">
        <f t="shared" si="18"/>
        <v>0.19588724785525816</v>
      </c>
      <c r="V41" s="35">
        <f t="shared" si="19"/>
        <v>1.0382024136328682E-3</v>
      </c>
      <c r="W41" s="35">
        <f t="shared" si="20"/>
        <v>7.8354899142103265E-3</v>
      </c>
      <c r="X41" s="27">
        <f t="shared" si="21"/>
        <v>0.18701355552741497</v>
      </c>
      <c r="Y41" s="36"/>
      <c r="Z41" s="28">
        <f t="shared" si="22"/>
        <v>2874.6943340878775</v>
      </c>
      <c r="AA41" s="28">
        <f t="shared" si="22"/>
        <v>97.943623927629076</v>
      </c>
      <c r="AB41" s="28">
        <f t="shared" si="23"/>
        <v>2857.7634926922042</v>
      </c>
      <c r="AC41" s="28">
        <f t="shared" si="1"/>
        <v>93.50677776370749</v>
      </c>
      <c r="AD41" s="36"/>
      <c r="AE41" s="28">
        <f t="shared" si="2"/>
        <v>69.008001989616119</v>
      </c>
      <c r="AF41" s="28">
        <f t="shared" si="30"/>
        <v>-3.4504000994808059</v>
      </c>
      <c r="AG41" s="28">
        <f t="shared" si="30"/>
        <v>-4.6753388881853741</v>
      </c>
      <c r="AH41" s="28">
        <f t="shared" si="24"/>
        <v>-51.910120681643413</v>
      </c>
      <c r="AI41" s="28">
        <f t="shared" si="25"/>
        <v>-80.159412469345895</v>
      </c>
      <c r="AJ41" s="28">
        <f t="shared" si="8"/>
        <v>-71.187270149039364</v>
      </c>
      <c r="AK41" s="28">
        <f t="shared" si="9"/>
        <v>16.930841395673269</v>
      </c>
      <c r="AL41" s="28">
        <f t="shared" si="26"/>
        <v>167.10075579481034</v>
      </c>
      <c r="AM41" s="28">
        <f t="shared" si="10"/>
        <v>112.84432704144425</v>
      </c>
      <c r="AN41" s="28">
        <f t="shared" si="11"/>
        <v>4.4368461639215866</v>
      </c>
      <c r="AO41" s="28">
        <f t="shared" si="12"/>
        <v>117.28117320536583</v>
      </c>
      <c r="AQ41" s="54"/>
      <c r="AT41" s="32">
        <f t="shared" si="27"/>
        <v>37</v>
      </c>
      <c r="AU41" s="30">
        <f t="shared" si="28"/>
        <v>0.93969610943966508</v>
      </c>
      <c r="AV41" s="30">
        <f t="shared" si="13"/>
        <v>4.9803893800302252E-3</v>
      </c>
      <c r="AW41" s="9">
        <f>ROUND((1000*NPV($AT$1,$AV42:$AV$79)-$AW$1*($AU42+NPV($AT$1,$AU43:$AU$79)))/AU42,3)</f>
        <v>305.62099999999998</v>
      </c>
      <c r="AX41" s="9">
        <f>ROUND(MAX(0,1000*NPV($AT$2,$AV42:$AV$79)-$AW$2*($AU42+NPV($AT$2,$AU43:$AU$79)))/AU42,3)</f>
        <v>204.60599999999999</v>
      </c>
    </row>
    <row r="42" spans="2:50" ht="16" x14ac:dyDescent="0.2">
      <c r="B42" s="32"/>
      <c r="C42" s="52"/>
      <c r="D42" s="48"/>
      <c r="E42" s="48"/>
      <c r="F42" s="32"/>
      <c r="G42" s="52"/>
      <c r="H42" s="53"/>
      <c r="I42" s="32">
        <f t="shared" si="14"/>
        <v>38</v>
      </c>
      <c r="J42" s="20">
        <f t="shared" si="15"/>
        <v>369</v>
      </c>
      <c r="K42" s="20">
        <f t="shared" si="16"/>
        <v>18.45</v>
      </c>
      <c r="L42" s="21">
        <f t="shared" si="17"/>
        <v>25</v>
      </c>
      <c r="M42" s="20">
        <f t="shared" si="0"/>
        <v>50000</v>
      </c>
      <c r="N42" s="22">
        <f t="shared" si="4"/>
        <v>215.46199999999999</v>
      </c>
      <c r="O42" s="33">
        <f t="shared" si="5"/>
        <v>318.00700000000001</v>
      </c>
      <c r="P42" s="24">
        <f t="shared" si="6"/>
        <v>10773.1</v>
      </c>
      <c r="Q42" s="25">
        <f t="shared" si="7"/>
        <v>15900.35</v>
      </c>
      <c r="R42" s="33"/>
      <c r="S42" s="33">
        <v>5.7110000000000003</v>
      </c>
      <c r="T42" s="34">
        <f t="shared" si="29"/>
        <v>0.04</v>
      </c>
      <c r="U42" s="35">
        <f t="shared" si="18"/>
        <v>0.18701355552741497</v>
      </c>
      <c r="V42" s="35">
        <f t="shared" si="19"/>
        <v>1.0680344156170668E-3</v>
      </c>
      <c r="W42" s="35">
        <f t="shared" si="20"/>
        <v>7.4805422210965991E-3</v>
      </c>
      <c r="X42" s="27">
        <f t="shared" si="21"/>
        <v>0.17846497889070131</v>
      </c>
      <c r="Y42" s="36"/>
      <c r="Z42" s="28">
        <f t="shared" si="22"/>
        <v>2857.7634926922042</v>
      </c>
      <c r="AA42" s="28">
        <f t="shared" si="22"/>
        <v>93.50677776370749</v>
      </c>
      <c r="AB42" s="28">
        <f t="shared" si="23"/>
        <v>2837.6556271047625</v>
      </c>
      <c r="AC42" s="28">
        <f t="shared" si="1"/>
        <v>89.232489445350652</v>
      </c>
      <c r="AD42" s="36"/>
      <c r="AE42" s="28">
        <f t="shared" si="2"/>
        <v>65.853577210668789</v>
      </c>
      <c r="AF42" s="28">
        <f t="shared" si="30"/>
        <v>-3.2926788605334392</v>
      </c>
      <c r="AG42" s="28">
        <f t="shared" si="30"/>
        <v>-4.4616244722675331</v>
      </c>
      <c r="AH42" s="28">
        <f t="shared" si="24"/>
        <v>-53.401720780853346</v>
      </c>
      <c r="AI42" s="28">
        <f t="shared" si="25"/>
        <v>-80.588629402095776</v>
      </c>
      <c r="AJ42" s="28">
        <f t="shared" si="8"/>
        <v>-75.891076305081299</v>
      </c>
      <c r="AK42" s="28">
        <f t="shared" si="9"/>
        <v>20.107865587441665</v>
      </c>
      <c r="AL42" s="28">
        <f t="shared" si="26"/>
        <v>165.76071428433258</v>
      </c>
      <c r="AM42" s="28">
        <f t="shared" si="10"/>
        <v>109.97750356669295</v>
      </c>
      <c r="AN42" s="28">
        <f t="shared" si="11"/>
        <v>4.2742883183568381</v>
      </c>
      <c r="AO42" s="28">
        <f t="shared" si="12"/>
        <v>114.25179188504978</v>
      </c>
      <c r="AQ42" s="54"/>
      <c r="AT42" s="32">
        <f t="shared" si="27"/>
        <v>38</v>
      </c>
      <c r="AU42" s="30">
        <f t="shared" si="28"/>
        <v>0.93471572005963488</v>
      </c>
      <c r="AV42" s="30">
        <f t="shared" si="13"/>
        <v>5.3381614772605758E-3</v>
      </c>
      <c r="AW42" s="9">
        <f>ROUND((1000*NPV($AT$1,$AV43:$AV$79)-$AW$1*($AU43+NPV($AT$1,$AU44:$AU$79)))/AU43,3)</f>
        <v>318.00700000000001</v>
      </c>
      <c r="AX42" s="9">
        <f>ROUND(MAX(0,1000*NPV($AT$2,$AV43:$AV$79)-$AW$2*($AU43+NPV($AT$2,$AU44:$AU$79)))/AU43,3)</f>
        <v>215.46199999999999</v>
      </c>
    </row>
    <row r="43" spans="2:50" ht="16" x14ac:dyDescent="0.2">
      <c r="B43" s="32"/>
      <c r="C43" s="52"/>
      <c r="D43" s="48"/>
      <c r="E43" s="48"/>
      <c r="F43" s="32"/>
      <c r="G43" s="52"/>
      <c r="H43" s="53"/>
      <c r="I43" s="32">
        <f t="shared" si="14"/>
        <v>39</v>
      </c>
      <c r="J43" s="20">
        <f t="shared" si="15"/>
        <v>369</v>
      </c>
      <c r="K43" s="20">
        <f t="shared" si="16"/>
        <v>18.45</v>
      </c>
      <c r="L43" s="21">
        <f t="shared" si="17"/>
        <v>25</v>
      </c>
      <c r="M43" s="20">
        <f t="shared" si="0"/>
        <v>50000</v>
      </c>
      <c r="N43" s="22">
        <f t="shared" si="4"/>
        <v>226.68199999999999</v>
      </c>
      <c r="O43" s="33">
        <f t="shared" si="5"/>
        <v>330.65499999999997</v>
      </c>
      <c r="P43" s="24">
        <f t="shared" si="6"/>
        <v>11334.1</v>
      </c>
      <c r="Q43" s="25">
        <f t="shared" si="7"/>
        <v>16532.749999999996</v>
      </c>
      <c r="R43" s="33"/>
      <c r="S43" s="33">
        <v>6.1669999999999998</v>
      </c>
      <c r="T43" s="34">
        <f t="shared" si="29"/>
        <v>0.04</v>
      </c>
      <c r="U43" s="35">
        <f t="shared" si="18"/>
        <v>0.17846497889070131</v>
      </c>
      <c r="V43" s="35">
        <f t="shared" si="19"/>
        <v>1.100593524818955E-3</v>
      </c>
      <c r="W43" s="35">
        <f t="shared" si="20"/>
        <v>7.1385991556280528E-3</v>
      </c>
      <c r="X43" s="27">
        <f t="shared" si="21"/>
        <v>0.1702257862102543</v>
      </c>
      <c r="Y43" s="36"/>
      <c r="Z43" s="28">
        <f t="shared" si="22"/>
        <v>2837.6556271047625</v>
      </c>
      <c r="AA43" s="28">
        <f t="shared" si="22"/>
        <v>89.232489445350652</v>
      </c>
      <c r="AB43" s="28">
        <f t="shared" si="23"/>
        <v>2814.3003669675813</v>
      </c>
      <c r="AC43" s="28">
        <f t="shared" si="1"/>
        <v>85.112893105127156</v>
      </c>
      <c r="AD43" s="36"/>
      <c r="AE43" s="28">
        <f t="shared" si="2"/>
        <v>62.81331511158384</v>
      </c>
      <c r="AF43" s="28">
        <f t="shared" si="30"/>
        <v>-3.1406657555791919</v>
      </c>
      <c r="AG43" s="28">
        <f t="shared" si="30"/>
        <v>-4.2556446552563578</v>
      </c>
      <c r="AH43" s="28">
        <f t="shared" si="24"/>
        <v>-55.029676240947751</v>
      </c>
      <c r="AI43" s="28">
        <f t="shared" si="25"/>
        <v>-80.909596689803919</v>
      </c>
      <c r="AJ43" s="28">
        <f t="shared" si="8"/>
        <v>-80.522268230003377</v>
      </c>
      <c r="AK43" s="28">
        <f t="shared" si="9"/>
        <v>23.355260137181176</v>
      </c>
      <c r="AL43" s="28">
        <f t="shared" si="26"/>
        <v>164.2608421248365</v>
      </c>
      <c r="AM43" s="28">
        <f t="shared" si="10"/>
        <v>107.0938340320143</v>
      </c>
      <c r="AN43" s="28">
        <f t="shared" si="11"/>
        <v>4.1195963402234952</v>
      </c>
      <c r="AO43" s="28">
        <f t="shared" si="12"/>
        <v>111.2134303722378</v>
      </c>
      <c r="AQ43" s="54"/>
      <c r="AT43" s="32">
        <f t="shared" si="27"/>
        <v>39</v>
      </c>
      <c r="AU43" s="30">
        <f t="shared" si="28"/>
        <v>0.92937755858237425</v>
      </c>
      <c r="AV43" s="30">
        <f t="shared" si="13"/>
        <v>5.731471403777502E-3</v>
      </c>
      <c r="AW43" s="9">
        <f>ROUND((1000*NPV($AT$1,$AV44:$AV$79)-$AW$1*($AU44+NPV($AT$1,$AU45:$AU$79)))/AU44,3)</f>
        <v>330.65499999999997</v>
      </c>
      <c r="AX43" s="9">
        <f>ROUND(MAX(0,1000*NPV($AT$2,$AV44:$AV$79)-$AW$2*($AU44+NPV($AT$2,$AU45:$AU$79)))/AU44,3)</f>
        <v>226.68199999999999</v>
      </c>
    </row>
    <row r="44" spans="2:50" ht="16" x14ac:dyDescent="0.2">
      <c r="B44" s="32"/>
      <c r="C44" s="52"/>
      <c r="D44" s="48"/>
      <c r="E44" s="48"/>
      <c r="F44" s="32"/>
      <c r="G44" s="52"/>
      <c r="H44" s="53"/>
      <c r="I44" s="32">
        <f t="shared" si="14"/>
        <v>40</v>
      </c>
      <c r="J44" s="20">
        <f t="shared" si="15"/>
        <v>369</v>
      </c>
      <c r="K44" s="20">
        <f t="shared" si="16"/>
        <v>18.45</v>
      </c>
      <c r="L44" s="21">
        <f t="shared" si="17"/>
        <v>25</v>
      </c>
      <c r="M44" s="20">
        <f t="shared" si="0"/>
        <v>50000</v>
      </c>
      <c r="N44" s="22">
        <f t="shared" si="4"/>
        <v>238.27500000000001</v>
      </c>
      <c r="O44" s="33">
        <f t="shared" si="5"/>
        <v>343.56900000000002</v>
      </c>
      <c r="P44" s="24">
        <f t="shared" si="6"/>
        <v>11913.75</v>
      </c>
      <c r="Q44" s="25">
        <f t="shared" si="7"/>
        <v>17178.45</v>
      </c>
      <c r="R44" s="33"/>
      <c r="S44" s="33">
        <v>6.6539999999999999</v>
      </c>
      <c r="T44" s="34">
        <f t="shared" si="29"/>
        <v>0.04</v>
      </c>
      <c r="U44" s="35">
        <f t="shared" si="18"/>
        <v>0.1702257862102543</v>
      </c>
      <c r="V44" s="35">
        <f t="shared" si="19"/>
        <v>1.132682381443032E-3</v>
      </c>
      <c r="W44" s="35">
        <f t="shared" si="20"/>
        <v>6.809031448410172E-3</v>
      </c>
      <c r="X44" s="27">
        <f t="shared" si="21"/>
        <v>0.1622840723804011</v>
      </c>
      <c r="Y44" s="36"/>
      <c r="Z44" s="28">
        <f t="shared" si="22"/>
        <v>2814.3003669675813</v>
      </c>
      <c r="AA44" s="28">
        <f t="shared" si="22"/>
        <v>85.112893105127156</v>
      </c>
      <c r="AB44" s="28">
        <f t="shared" si="23"/>
        <v>2787.7888231831016</v>
      </c>
      <c r="AC44" s="28">
        <f t="shared" si="1"/>
        <v>81.142036190200557</v>
      </c>
      <c r="AD44" s="36"/>
      <c r="AE44" s="28">
        <f t="shared" si="2"/>
        <v>59.882822708368003</v>
      </c>
      <c r="AF44" s="28">
        <f t="shared" si="30"/>
        <v>-2.9941411354184</v>
      </c>
      <c r="AG44" s="28">
        <f t="shared" si="30"/>
        <v>-4.0571018095100273</v>
      </c>
      <c r="AH44" s="28">
        <f t="shared" si="24"/>
        <v>-56.634119072151599</v>
      </c>
      <c r="AI44" s="28">
        <f t="shared" si="25"/>
        <v>-81.121098418496686</v>
      </c>
      <c r="AJ44" s="28">
        <f t="shared" si="8"/>
        <v>-84.923637727208714</v>
      </c>
      <c r="AK44" s="28">
        <f t="shared" si="9"/>
        <v>26.511543784479727</v>
      </c>
      <c r="AL44" s="28">
        <f t="shared" si="26"/>
        <v>162.5966067905112</v>
      </c>
      <c r="AM44" s="28">
        <f t="shared" si="10"/>
        <v>104.18451284778222</v>
      </c>
      <c r="AN44" s="28">
        <f t="shared" si="11"/>
        <v>3.9708569149265998</v>
      </c>
      <c r="AO44" s="28">
        <f t="shared" si="12"/>
        <v>108.15536976270882</v>
      </c>
      <c r="AQ44" s="54"/>
      <c r="AT44" s="32">
        <f t="shared" si="27"/>
        <v>40</v>
      </c>
      <c r="AU44" s="30">
        <f t="shared" si="28"/>
        <v>0.92364608717859675</v>
      </c>
      <c r="AV44" s="30">
        <f t="shared" si="13"/>
        <v>6.1459410640863832E-3</v>
      </c>
      <c r="AW44" s="9">
        <f>ROUND((1000*NPV($AT$1,$AV45:$AV$79)-$AW$1*($AU45+NPV($AT$1,$AU46:$AU$79)))/AU45,3)</f>
        <v>343.56900000000002</v>
      </c>
      <c r="AX44" s="9">
        <f>ROUND(MAX(0,1000*NPV($AT$2,$AV45:$AV$79)-$AW$2*($AU45+NPV($AT$2,$AU46:$AU$79)))/AU45,3)</f>
        <v>238.27500000000001</v>
      </c>
    </row>
    <row r="45" spans="2:50" ht="16" x14ac:dyDescent="0.2">
      <c r="B45" s="32"/>
      <c r="C45" s="52"/>
      <c r="D45" s="48"/>
      <c r="E45" s="48"/>
      <c r="F45" s="32"/>
      <c r="G45" s="52"/>
      <c r="H45" s="53"/>
      <c r="I45" s="32">
        <f t="shared" si="14"/>
        <v>41</v>
      </c>
      <c r="J45" s="20">
        <f t="shared" si="15"/>
        <v>369</v>
      </c>
      <c r="K45" s="20">
        <f t="shared" si="16"/>
        <v>18.45</v>
      </c>
      <c r="L45" s="21">
        <f t="shared" si="17"/>
        <v>25</v>
      </c>
      <c r="M45" s="20">
        <f t="shared" si="0"/>
        <v>50000</v>
      </c>
      <c r="N45" s="22">
        <f t="shared" si="4"/>
        <v>250.268</v>
      </c>
      <c r="O45" s="33">
        <f t="shared" si="5"/>
        <v>356.767</v>
      </c>
      <c r="P45" s="24">
        <f t="shared" si="6"/>
        <v>12513.4</v>
      </c>
      <c r="Q45" s="25">
        <f t="shared" si="7"/>
        <v>17838.349999999999</v>
      </c>
      <c r="R45" s="33"/>
      <c r="S45" s="33">
        <v>7.1539999999999999</v>
      </c>
      <c r="T45" s="34">
        <f t="shared" si="29"/>
        <v>0.04</v>
      </c>
      <c r="U45" s="35">
        <f t="shared" si="18"/>
        <v>0.1622840723804011</v>
      </c>
      <c r="V45" s="35">
        <f t="shared" si="19"/>
        <v>1.1609802538093893E-3</v>
      </c>
      <c r="W45" s="35">
        <f t="shared" si="20"/>
        <v>6.4913628952160442E-3</v>
      </c>
      <c r="X45" s="27">
        <f t="shared" si="21"/>
        <v>0.15463172923137566</v>
      </c>
      <c r="Y45" s="36"/>
      <c r="Z45" s="28">
        <f t="shared" si="22"/>
        <v>2787.7888231831016</v>
      </c>
      <c r="AA45" s="28">
        <f t="shared" si="22"/>
        <v>81.142036190200557</v>
      </c>
      <c r="AB45" s="28">
        <f t="shared" si="23"/>
        <v>2758.3749071345101</v>
      </c>
      <c r="AC45" s="28">
        <f t="shared" si="1"/>
        <v>77.315864615687829</v>
      </c>
      <c r="AD45" s="36"/>
      <c r="AE45" s="28">
        <f t="shared" si="2"/>
        <v>57.05910808637762</v>
      </c>
      <c r="AF45" s="28">
        <f t="shared" si="30"/>
        <v>-2.8529554043188807</v>
      </c>
      <c r="AG45" s="28">
        <f t="shared" si="30"/>
        <v>-3.8657932307843916</v>
      </c>
      <c r="AH45" s="28">
        <f t="shared" si="24"/>
        <v>-58.049012690469468</v>
      </c>
      <c r="AI45" s="28">
        <f t="shared" si="25"/>
        <v>-81.229020452996451</v>
      </c>
      <c r="AJ45" s="28">
        <f t="shared" si="8"/>
        <v>-88.937673692191566</v>
      </c>
      <c r="AK45" s="28">
        <f t="shared" si="9"/>
        <v>29.413916048591545</v>
      </c>
      <c r="AL45" s="28">
        <f t="shared" si="26"/>
        <v>160.77253566304486</v>
      </c>
      <c r="AM45" s="28">
        <f t="shared" si="10"/>
        <v>101.24877801944484</v>
      </c>
      <c r="AN45" s="28">
        <f t="shared" si="11"/>
        <v>3.8261715745127276</v>
      </c>
      <c r="AO45" s="28">
        <f t="shared" si="12"/>
        <v>105.07494959395757</v>
      </c>
      <c r="AQ45" s="54"/>
      <c r="AT45" s="32">
        <f t="shared" si="27"/>
        <v>41</v>
      </c>
      <c r="AU45" s="30">
        <f t="shared" si="28"/>
        <v>0.91750014611451036</v>
      </c>
      <c r="AV45" s="30">
        <f t="shared" si="13"/>
        <v>6.5637960453032076E-3</v>
      </c>
      <c r="AW45" s="9">
        <f>ROUND((1000*NPV($AT$1,$AV46:$AV$79)-$AW$1*($AU46+NPV($AT$1,$AU47:$AU$79)))/AU46,3)</f>
        <v>356.767</v>
      </c>
      <c r="AX45" s="9">
        <f>ROUND(MAX(0,1000*NPV($AT$2,$AV46:$AV$79)-$AW$2*($AU46+NPV($AT$2,$AU47:$AU$79)))/AU46,3)</f>
        <v>250.268</v>
      </c>
    </row>
    <row r="46" spans="2:50" ht="16" x14ac:dyDescent="0.2">
      <c r="B46" s="32"/>
      <c r="C46" s="52"/>
      <c r="D46" s="48"/>
      <c r="E46" s="48"/>
      <c r="F46" s="32"/>
      <c r="G46" s="52"/>
      <c r="H46" s="53"/>
      <c r="I46" s="32">
        <f t="shared" si="14"/>
        <v>42</v>
      </c>
      <c r="J46" s="20">
        <f t="shared" si="15"/>
        <v>369</v>
      </c>
      <c r="K46" s="20">
        <f t="shared" si="16"/>
        <v>18.45</v>
      </c>
      <c r="L46" s="21">
        <f t="shared" si="17"/>
        <v>25</v>
      </c>
      <c r="M46" s="20">
        <f t="shared" si="0"/>
        <v>50000</v>
      </c>
      <c r="N46" s="22">
        <f t="shared" si="4"/>
        <v>262.70600000000002</v>
      </c>
      <c r="O46" s="33">
        <f t="shared" si="5"/>
        <v>370.27699999999999</v>
      </c>
      <c r="P46" s="24">
        <f t="shared" si="6"/>
        <v>13135.3</v>
      </c>
      <c r="Q46" s="25">
        <f t="shared" si="7"/>
        <v>18513.849999999999</v>
      </c>
      <c r="R46" s="33"/>
      <c r="S46" s="33">
        <v>7.649</v>
      </c>
      <c r="T46" s="34">
        <f t="shared" si="29"/>
        <v>0.04</v>
      </c>
      <c r="U46" s="35">
        <f t="shared" si="18"/>
        <v>0.15463172923137566</v>
      </c>
      <c r="V46" s="35">
        <f t="shared" si="19"/>
        <v>1.1827780968907925E-3</v>
      </c>
      <c r="W46" s="35">
        <f t="shared" si="20"/>
        <v>6.1852691692550268E-3</v>
      </c>
      <c r="X46" s="27">
        <f t="shared" si="21"/>
        <v>0.14726368196522985</v>
      </c>
      <c r="Y46" s="36"/>
      <c r="Z46" s="28">
        <f t="shared" si="22"/>
        <v>2758.3749071345101</v>
      </c>
      <c r="AA46" s="28">
        <f t="shared" si="22"/>
        <v>77.315864615687829</v>
      </c>
      <c r="AB46" s="28">
        <f t="shared" si="23"/>
        <v>2726.4177183519705</v>
      </c>
      <c r="AC46" s="28">
        <f t="shared" si="1"/>
        <v>73.631840982614918</v>
      </c>
      <c r="AD46" s="36"/>
      <c r="AE46" s="28">
        <f t="shared" si="2"/>
        <v>54.340298645169817</v>
      </c>
      <c r="AF46" s="28">
        <f t="shared" si="30"/>
        <v>-2.7170149322584907</v>
      </c>
      <c r="AG46" s="28">
        <f t="shared" si="30"/>
        <v>-3.6815920491307463</v>
      </c>
      <c r="AH46" s="28">
        <f t="shared" si="24"/>
        <v>-59.138904844539624</v>
      </c>
      <c r="AI46" s="28">
        <f t="shared" si="25"/>
        <v>-81.245366118915555</v>
      </c>
      <c r="AJ46" s="28">
        <f t="shared" si="8"/>
        <v>-92.442579299674605</v>
      </c>
      <c r="AK46" s="28">
        <f t="shared" si="9"/>
        <v>31.957188782539561</v>
      </c>
      <c r="AL46" s="28">
        <f t="shared" si="26"/>
        <v>158.80227305047103</v>
      </c>
      <c r="AM46" s="28">
        <f t="shared" si="10"/>
        <v>98.316882533335985</v>
      </c>
      <c r="AN46" s="28">
        <f t="shared" si="11"/>
        <v>3.6840236330729113</v>
      </c>
      <c r="AO46" s="28">
        <f t="shared" si="12"/>
        <v>102.0009061664089</v>
      </c>
      <c r="AQ46" s="54"/>
      <c r="AT46" s="32">
        <f t="shared" si="27"/>
        <v>42</v>
      </c>
      <c r="AU46" s="30">
        <f t="shared" si="28"/>
        <v>0.91093635006920715</v>
      </c>
      <c r="AV46" s="30">
        <f t="shared" si="13"/>
        <v>6.9677521416793651E-3</v>
      </c>
      <c r="AW46" s="9">
        <f>ROUND((1000*NPV($AT$1,$AV47:$AV$79)-$AW$1*($AU47+NPV($AT$1,$AU48:$AU$79)))/AU47,3)</f>
        <v>370.27699999999999</v>
      </c>
      <c r="AX46" s="9">
        <f>ROUND(MAX(0,1000*NPV($AT$2,$AV47:$AV$79)-$AW$2*($AU47+NPV($AT$2,$AU48:$AU$79)))/AU47,3)</f>
        <v>262.70600000000002</v>
      </c>
    </row>
    <row r="47" spans="2:50" ht="16" x14ac:dyDescent="0.2">
      <c r="B47" s="32"/>
      <c r="C47" s="52"/>
      <c r="D47" s="48"/>
      <c r="E47" s="48"/>
      <c r="F47" s="32"/>
      <c r="G47" s="52"/>
      <c r="H47" s="53"/>
      <c r="I47" s="32">
        <f t="shared" si="14"/>
        <v>43</v>
      </c>
      <c r="J47" s="20">
        <f t="shared" si="15"/>
        <v>369</v>
      </c>
      <c r="K47" s="20">
        <f t="shared" si="16"/>
        <v>18.45</v>
      </c>
      <c r="L47" s="21">
        <f t="shared" si="17"/>
        <v>25</v>
      </c>
      <c r="M47" s="20">
        <f t="shared" si="0"/>
        <v>50000</v>
      </c>
      <c r="N47" s="22">
        <f t="shared" si="4"/>
        <v>275.64499999999998</v>
      </c>
      <c r="O47" s="33">
        <f t="shared" si="5"/>
        <v>384.142</v>
      </c>
      <c r="P47" s="24">
        <f t="shared" si="6"/>
        <v>13782.25</v>
      </c>
      <c r="Q47" s="25">
        <f t="shared" si="7"/>
        <v>19207.099999999999</v>
      </c>
      <c r="R47" s="33"/>
      <c r="S47" s="33">
        <v>8.1219999999999999</v>
      </c>
      <c r="T47" s="34">
        <f t="shared" si="29"/>
        <v>0.04</v>
      </c>
      <c r="U47" s="35">
        <f t="shared" si="18"/>
        <v>0.14726368196522985</v>
      </c>
      <c r="V47" s="35">
        <f t="shared" si="19"/>
        <v>1.1960756249215969E-3</v>
      </c>
      <c r="W47" s="35">
        <f t="shared" si="20"/>
        <v>5.8905472786091942E-3</v>
      </c>
      <c r="X47" s="27">
        <f t="shared" si="21"/>
        <v>0.14017705906169906</v>
      </c>
      <c r="Y47" s="36"/>
      <c r="Z47" s="28">
        <f t="shared" si="22"/>
        <v>2726.4177183519705</v>
      </c>
      <c r="AA47" s="28">
        <f t="shared" si="22"/>
        <v>73.631840982614918</v>
      </c>
      <c r="AB47" s="28">
        <f t="shared" si="23"/>
        <v>2692.3947911039595</v>
      </c>
      <c r="AC47" s="28">
        <f t="shared" si="1"/>
        <v>70.088529530849527</v>
      </c>
      <c r="AD47" s="36"/>
      <c r="AE47" s="28">
        <f t="shared" si="2"/>
        <v>51.725334793766955</v>
      </c>
      <c r="AF47" s="28">
        <f t="shared" si="30"/>
        <v>-2.5862667396883476</v>
      </c>
      <c r="AG47" s="28">
        <f t="shared" si="30"/>
        <v>-3.5044264765424762</v>
      </c>
      <c r="AH47" s="28">
        <f t="shared" si="24"/>
        <v>-59.803781246079843</v>
      </c>
      <c r="AI47" s="28">
        <f t="shared" si="25"/>
        <v>-81.184995230611563</v>
      </c>
      <c r="AJ47" s="28">
        <f t="shared" si="8"/>
        <v>-95.35413489915527</v>
      </c>
      <c r="AK47" s="28">
        <f t="shared" si="9"/>
        <v>34.022927248011001</v>
      </c>
      <c r="AL47" s="28">
        <f t="shared" si="26"/>
        <v>156.70537450637653</v>
      </c>
      <c r="AM47" s="28">
        <f t="shared" si="10"/>
        <v>95.374166855232261</v>
      </c>
      <c r="AN47" s="28">
        <f t="shared" si="11"/>
        <v>3.5433114517653905</v>
      </c>
      <c r="AO47" s="28">
        <f t="shared" si="12"/>
        <v>98.917478306997651</v>
      </c>
      <c r="AQ47" s="54"/>
      <c r="AT47" s="32">
        <f t="shared" si="27"/>
        <v>43</v>
      </c>
      <c r="AU47" s="30">
        <f t="shared" si="28"/>
        <v>0.90396859792752782</v>
      </c>
      <c r="AV47" s="30">
        <f t="shared" si="13"/>
        <v>7.3420329523673812E-3</v>
      </c>
      <c r="AW47" s="9">
        <f>ROUND((1000*NPV($AT$1,$AV48:$AV$79)-$AW$1*($AU48+NPV($AT$1,$AU49:$AU$79)))/AU48,3)</f>
        <v>384.142</v>
      </c>
      <c r="AX47" s="9">
        <f>ROUND(MAX(0,1000*NPV($AT$2,$AV48:$AV$79)-$AW$2*($AU48+NPV($AT$2,$AU49:$AU$79)))/AU48,3)</f>
        <v>275.64499999999998</v>
      </c>
    </row>
    <row r="48" spans="2:50" ht="16" x14ac:dyDescent="0.2">
      <c r="B48" s="32"/>
      <c r="C48" s="52"/>
      <c r="D48" s="48"/>
      <c r="E48" s="48"/>
      <c r="F48" s="32"/>
      <c r="G48" s="52"/>
      <c r="H48" s="53"/>
      <c r="I48" s="32">
        <f t="shared" si="14"/>
        <v>44</v>
      </c>
      <c r="J48" s="20">
        <f t="shared" si="15"/>
        <v>369</v>
      </c>
      <c r="K48" s="20">
        <f t="shared" si="16"/>
        <v>18.45</v>
      </c>
      <c r="L48" s="21">
        <f t="shared" si="17"/>
        <v>25</v>
      </c>
      <c r="M48" s="20">
        <f t="shared" si="0"/>
        <v>50000</v>
      </c>
      <c r="N48" s="22">
        <f t="shared" si="4"/>
        <v>289.154</v>
      </c>
      <c r="O48" s="33">
        <f t="shared" si="5"/>
        <v>398.40800000000002</v>
      </c>
      <c r="P48" s="24">
        <f t="shared" si="6"/>
        <v>14457.7</v>
      </c>
      <c r="Q48" s="25">
        <f t="shared" si="7"/>
        <v>19920.400000000001</v>
      </c>
      <c r="R48" s="33"/>
      <c r="S48" s="33">
        <v>8.5690000000000008</v>
      </c>
      <c r="T48" s="34">
        <f t="shared" si="29"/>
        <v>0.04</v>
      </c>
      <c r="U48" s="35">
        <f t="shared" si="18"/>
        <v>0.14017705906169906</v>
      </c>
      <c r="V48" s="35">
        <f t="shared" si="19"/>
        <v>1.2011772190996992E-3</v>
      </c>
      <c r="W48" s="35">
        <f t="shared" si="20"/>
        <v>5.6070823624679621E-3</v>
      </c>
      <c r="X48" s="27">
        <f t="shared" si="21"/>
        <v>0.13336879948013139</v>
      </c>
      <c r="Y48" s="36"/>
      <c r="Z48" s="28">
        <f t="shared" si="22"/>
        <v>2692.3947911039595</v>
      </c>
      <c r="AA48" s="28">
        <f t="shared" si="22"/>
        <v>70.088529530849527</v>
      </c>
      <c r="AB48" s="28">
        <f t="shared" si="23"/>
        <v>2656.7598331640097</v>
      </c>
      <c r="AC48" s="28">
        <f t="shared" si="1"/>
        <v>66.6843997400657</v>
      </c>
      <c r="AD48" s="36"/>
      <c r="AE48" s="28">
        <f t="shared" si="2"/>
        <v>49.213087008168486</v>
      </c>
      <c r="AF48" s="28">
        <f t="shared" si="30"/>
        <v>-2.460654350408424</v>
      </c>
      <c r="AG48" s="28">
        <f t="shared" si="30"/>
        <v>-3.3342199870032849</v>
      </c>
      <c r="AH48" s="28">
        <f t="shared" si="24"/>
        <v>-60.058860954984958</v>
      </c>
      <c r="AI48" s="28">
        <f t="shared" si="25"/>
        <v>-81.065514671853066</v>
      </c>
      <c r="AJ48" s="28">
        <f t="shared" si="8"/>
        <v>-97.706162956081243</v>
      </c>
      <c r="AK48" s="28">
        <f t="shared" si="9"/>
        <v>35.6349579399498</v>
      </c>
      <c r="AL48" s="28">
        <f t="shared" si="26"/>
        <v>154.50796643109132</v>
      </c>
      <c r="AM48" s="28">
        <f t="shared" si="10"/>
        <v>92.436761414959875</v>
      </c>
      <c r="AN48" s="28">
        <f t="shared" si="11"/>
        <v>3.404129790783827</v>
      </c>
      <c r="AO48" s="28">
        <f t="shared" si="12"/>
        <v>95.840891205743702</v>
      </c>
      <c r="AQ48" s="54"/>
      <c r="AT48" s="32">
        <f t="shared" si="27"/>
        <v>44</v>
      </c>
      <c r="AU48" s="30">
        <f t="shared" si="28"/>
        <v>0.89662656497516047</v>
      </c>
      <c r="AV48" s="30">
        <f t="shared" si="13"/>
        <v>7.6831930352721503E-3</v>
      </c>
      <c r="AW48" s="9">
        <f>ROUND((1000*NPV($AT$1,$AV49:$AV$79)-$AW$1*($AU49+NPV($AT$1,$AU50:$AU$79)))/AU49,3)</f>
        <v>398.40800000000002</v>
      </c>
      <c r="AX48" s="9">
        <f>ROUND(MAX(0,1000*NPV($AT$2,$AV49:$AV$79)-$AW$2*($AU49+NPV($AT$2,$AU50:$AU$79)))/AU49,3)</f>
        <v>289.154</v>
      </c>
    </row>
    <row r="49" spans="2:50" ht="16" x14ac:dyDescent="0.2">
      <c r="B49" s="32"/>
      <c r="C49" s="52"/>
      <c r="F49" s="32"/>
      <c r="G49" s="52"/>
      <c r="I49" s="32">
        <f t="shared" si="14"/>
        <v>45</v>
      </c>
      <c r="J49" s="20">
        <f t="shared" si="15"/>
        <v>369</v>
      </c>
      <c r="K49" s="20">
        <f t="shared" si="16"/>
        <v>18.45</v>
      </c>
      <c r="L49" s="21">
        <f t="shared" si="17"/>
        <v>25</v>
      </c>
      <c r="M49" s="20">
        <f t="shared" si="0"/>
        <v>50000</v>
      </c>
      <c r="N49" s="22">
        <f t="shared" si="4"/>
        <v>303.25200000000001</v>
      </c>
      <c r="O49" s="33">
        <f t="shared" si="5"/>
        <v>413.084</v>
      </c>
      <c r="P49" s="24">
        <f t="shared" si="6"/>
        <v>15162.6</v>
      </c>
      <c r="Q49" s="25">
        <f t="shared" si="7"/>
        <v>20654.2</v>
      </c>
      <c r="R49" s="33"/>
      <c r="S49" s="33">
        <v>9.0579999999999998</v>
      </c>
      <c r="T49" s="34">
        <f t="shared" si="29"/>
        <v>0.04</v>
      </c>
      <c r="U49" s="35">
        <f t="shared" si="18"/>
        <v>0.13336879948013139</v>
      </c>
      <c r="V49" s="35">
        <f t="shared" si="19"/>
        <v>1.20805458569103E-3</v>
      </c>
      <c r="W49" s="35">
        <f t="shared" si="20"/>
        <v>5.3347519792052555E-3</v>
      </c>
      <c r="X49" s="27">
        <f t="shared" si="21"/>
        <v>0.12682599291523511</v>
      </c>
      <c r="Y49" s="36"/>
      <c r="Z49" s="28">
        <f t="shared" si="22"/>
        <v>2656.7598331640097</v>
      </c>
      <c r="AA49" s="28">
        <f t="shared" si="22"/>
        <v>66.6843997400657</v>
      </c>
      <c r="AB49" s="28">
        <f t="shared" si="23"/>
        <v>2619.489422869849</v>
      </c>
      <c r="AC49" s="28">
        <f t="shared" si="1"/>
        <v>63.412996457617552</v>
      </c>
      <c r="AD49" s="36"/>
      <c r="AE49" s="28">
        <f t="shared" si="2"/>
        <v>46.798791385721756</v>
      </c>
      <c r="AF49" s="28">
        <f t="shared" si="30"/>
        <v>-2.3399395692860878</v>
      </c>
      <c r="AG49" s="28">
        <f t="shared" si="30"/>
        <v>-3.1706498228808777</v>
      </c>
      <c r="AH49" s="28">
        <f t="shared" si="24"/>
        <v>-60.402729284551505</v>
      </c>
      <c r="AI49" s="28">
        <f t="shared" si="25"/>
        <v>-80.888710359897615</v>
      </c>
      <c r="AJ49" s="28">
        <f t="shared" si="8"/>
        <v>-100.00323765089433</v>
      </c>
      <c r="AK49" s="28">
        <f t="shared" si="9"/>
        <v>37.270410294160683</v>
      </c>
      <c r="AL49" s="28">
        <f t="shared" si="26"/>
        <v>152.23466965962811</v>
      </c>
      <c r="AM49" s="28">
        <f t="shared" si="10"/>
        <v>89.50184230289446</v>
      </c>
      <c r="AN49" s="28">
        <f t="shared" si="11"/>
        <v>3.2714032824481478</v>
      </c>
      <c r="AO49" s="28">
        <f t="shared" si="12"/>
        <v>92.773245585342607</v>
      </c>
      <c r="AT49" s="32">
        <f t="shared" si="27"/>
        <v>45</v>
      </c>
      <c r="AU49" s="30">
        <f t="shared" si="28"/>
        <v>0.88894337193988837</v>
      </c>
      <c r="AV49" s="30">
        <f t="shared" si="13"/>
        <v>8.0520490630315092E-3</v>
      </c>
      <c r="AW49" s="9">
        <f>ROUND((1000*NPV($AT$1,$AV50:$AV$79)-$AW$1*($AU50+NPV($AT$1,$AU51:$AU$79)))/AU50,3)</f>
        <v>413.084</v>
      </c>
      <c r="AX49" s="9">
        <f>ROUND(MAX(0,1000*NPV($AT$2,$AV50:$AV$79)-$AW$2*($AU50+NPV($AT$2,$AU51:$AU$79)))/AU50,3)</f>
        <v>303.25200000000001</v>
      </c>
    </row>
    <row r="50" spans="2:50" ht="16" x14ac:dyDescent="0.2">
      <c r="B50" s="32"/>
      <c r="C50" s="52"/>
      <c r="F50" s="32"/>
      <c r="G50" s="52"/>
      <c r="I50" s="32">
        <f t="shared" si="14"/>
        <v>46</v>
      </c>
      <c r="J50" s="20">
        <f t="shared" si="15"/>
        <v>369</v>
      </c>
      <c r="K50" s="20">
        <f t="shared" si="16"/>
        <v>18.45</v>
      </c>
      <c r="L50" s="21">
        <f t="shared" si="17"/>
        <v>25</v>
      </c>
      <c r="M50" s="20">
        <f t="shared" si="0"/>
        <v>50000</v>
      </c>
      <c r="N50" s="22">
        <f t="shared" si="4"/>
        <v>317.91300000000001</v>
      </c>
      <c r="O50" s="33">
        <f t="shared" si="5"/>
        <v>428.13499999999999</v>
      </c>
      <c r="P50" s="24">
        <f t="shared" si="6"/>
        <v>15895.65</v>
      </c>
      <c r="Q50" s="25">
        <f t="shared" si="7"/>
        <v>21406.75</v>
      </c>
      <c r="R50" s="33"/>
      <c r="S50" s="33">
        <v>9.6690000000000005</v>
      </c>
      <c r="T50" s="34">
        <f t="shared" si="29"/>
        <v>0.04</v>
      </c>
      <c r="U50" s="35">
        <f t="shared" si="18"/>
        <v>0.12682599291523511</v>
      </c>
      <c r="V50" s="35">
        <f t="shared" si="19"/>
        <v>1.2262805254974083E-3</v>
      </c>
      <c r="W50" s="35">
        <f t="shared" si="20"/>
        <v>5.0730397166094043E-3</v>
      </c>
      <c r="X50" s="27">
        <f t="shared" si="21"/>
        <v>0.12052667267312829</v>
      </c>
      <c r="Y50" s="36"/>
      <c r="Z50" s="28">
        <f t="shared" si="22"/>
        <v>2619.489422869849</v>
      </c>
      <c r="AA50" s="28">
        <f t="shared" si="22"/>
        <v>63.412996457617552</v>
      </c>
      <c r="AB50" s="28">
        <f t="shared" si="23"/>
        <v>2580.0843502454891</v>
      </c>
      <c r="AC50" s="28">
        <f t="shared" si="1"/>
        <v>60.263336336564144</v>
      </c>
      <c r="AD50" s="36"/>
      <c r="AE50" s="28">
        <f t="shared" si="2"/>
        <v>44.474342216384336</v>
      </c>
      <c r="AF50" s="28">
        <f t="shared" si="30"/>
        <v>-2.2237171108192171</v>
      </c>
      <c r="AG50" s="28">
        <f t="shared" si="30"/>
        <v>-3.0131668168282073</v>
      </c>
      <c r="AH50" s="28">
        <f t="shared" si="24"/>
        <v>-61.314026274870415</v>
      </c>
      <c r="AI50" s="28">
        <f t="shared" si="25"/>
        <v>-80.639263771322277</v>
      </c>
      <c r="AJ50" s="28">
        <f t="shared" si="8"/>
        <v>-102.71583175745579</v>
      </c>
      <c r="AK50" s="28">
        <f t="shared" si="9"/>
        <v>39.405072624359946</v>
      </c>
      <c r="AL50" s="28">
        <f t="shared" si="26"/>
        <v>149.88341744381677</v>
      </c>
      <c r="AM50" s="28">
        <f t="shared" si="10"/>
        <v>86.572658310720925</v>
      </c>
      <c r="AN50" s="28">
        <f t="shared" si="11"/>
        <v>3.1496601210534081</v>
      </c>
      <c r="AO50" s="28">
        <f t="shared" si="12"/>
        <v>89.72231843177434</v>
      </c>
      <c r="AT50" s="32">
        <f t="shared" si="27"/>
        <v>46</v>
      </c>
      <c r="AU50" s="30">
        <f t="shared" si="28"/>
        <v>0.8808913228768569</v>
      </c>
      <c r="AV50" s="30">
        <f t="shared" si="13"/>
        <v>8.5173382008963301E-3</v>
      </c>
      <c r="AW50" s="9">
        <f>ROUND((1000*NPV($AT$1,$AV51:$AV$79)-$AW$1*($AU51+NPV($AT$1,$AU52:$AU$79)))/AU51,3)</f>
        <v>428.13499999999999</v>
      </c>
      <c r="AX50" s="9">
        <f>ROUND(MAX(0,1000*NPV($AT$2,$AV51:$AV$79)-$AW$2*($AU51+NPV($AT$2,$AU52:$AU$79)))/AU51,3)</f>
        <v>317.91300000000001</v>
      </c>
    </row>
    <row r="51" spans="2:50" ht="16" x14ac:dyDescent="0.2">
      <c r="B51" s="32"/>
      <c r="C51" s="52"/>
      <c r="F51" s="32"/>
      <c r="G51" s="52"/>
      <c r="I51" s="32">
        <f t="shared" si="14"/>
        <v>47</v>
      </c>
      <c r="J51" s="20">
        <f t="shared" si="15"/>
        <v>369</v>
      </c>
      <c r="K51" s="20">
        <f t="shared" si="16"/>
        <v>18.45</v>
      </c>
      <c r="L51" s="21">
        <f t="shared" si="17"/>
        <v>25</v>
      </c>
      <c r="M51" s="20">
        <f t="shared" si="0"/>
        <v>50000</v>
      </c>
      <c r="N51" s="22">
        <f t="shared" si="4"/>
        <v>333.05599999999998</v>
      </c>
      <c r="O51" s="33">
        <f t="shared" si="5"/>
        <v>443.48099999999999</v>
      </c>
      <c r="P51" s="24">
        <f t="shared" si="6"/>
        <v>16652.8</v>
      </c>
      <c r="Q51" s="25">
        <f t="shared" si="7"/>
        <v>22174.05</v>
      </c>
      <c r="R51" s="33"/>
      <c r="S51" s="33">
        <v>10.484999999999999</v>
      </c>
      <c r="T51" s="34">
        <f t="shared" si="29"/>
        <v>0.04</v>
      </c>
      <c r="U51" s="35">
        <f t="shared" si="18"/>
        <v>0.12052667267312829</v>
      </c>
      <c r="V51" s="35">
        <f t="shared" si="19"/>
        <v>1.2637221629777499E-3</v>
      </c>
      <c r="W51" s="35">
        <f t="shared" si="20"/>
        <v>4.8210669069251319E-3</v>
      </c>
      <c r="X51" s="27">
        <f t="shared" si="21"/>
        <v>0.11444188360322541</v>
      </c>
      <c r="Y51" s="36"/>
      <c r="Z51" s="28">
        <f t="shared" si="22"/>
        <v>2580.0843502454891</v>
      </c>
      <c r="AA51" s="28">
        <f t="shared" si="22"/>
        <v>60.263336336564144</v>
      </c>
      <c r="AB51" s="28">
        <f t="shared" si="23"/>
        <v>2537.6400491121003</v>
      </c>
      <c r="AC51" s="28">
        <f t="shared" si="1"/>
        <v>57.220941801612703</v>
      </c>
      <c r="AD51" s="36"/>
      <c r="AE51" s="28">
        <f t="shared" si="2"/>
        <v>42.229055049590173</v>
      </c>
      <c r="AF51" s="28">
        <f t="shared" si="30"/>
        <v>-2.1114527524795088</v>
      </c>
      <c r="AG51" s="28">
        <f t="shared" si="30"/>
        <v>-2.8610470900806351</v>
      </c>
      <c r="AH51" s="28">
        <f t="shared" si="24"/>
        <v>-63.186108148887492</v>
      </c>
      <c r="AI51" s="28">
        <f t="shared" si="25"/>
        <v>-80.284262987642833</v>
      </c>
      <c r="AJ51" s="28">
        <f t="shared" si="8"/>
        <v>-106.2138159295003</v>
      </c>
      <c r="AK51" s="28">
        <f t="shared" si="9"/>
        <v>42.444301133388763</v>
      </c>
      <c r="AL51" s="28">
        <f t="shared" si="26"/>
        <v>147.42559088835398</v>
      </c>
      <c r="AM51" s="28">
        <f t="shared" si="10"/>
        <v>83.656076092242444</v>
      </c>
      <c r="AN51" s="28">
        <f t="shared" si="11"/>
        <v>3.0423945349514412</v>
      </c>
      <c r="AO51" s="28">
        <f t="shared" si="12"/>
        <v>86.698470627193885</v>
      </c>
      <c r="AT51" s="32">
        <f t="shared" si="27"/>
        <v>47</v>
      </c>
      <c r="AU51" s="30">
        <f t="shared" si="28"/>
        <v>0.87237398467596061</v>
      </c>
      <c r="AV51" s="30">
        <f t="shared" si="13"/>
        <v>9.146841229327447E-3</v>
      </c>
      <c r="AW51" s="9">
        <f>ROUND((1000*NPV($AT$1,$AV52:$AV$79)-$AW$1*($AU52+NPV($AT$1,$AU53:$AU$79)))/AU52,3)</f>
        <v>443.48099999999999</v>
      </c>
      <c r="AX51" s="9">
        <f>ROUND(MAX(0,1000*NPV($AT$2,$AV52:$AV$79)-$AW$2*($AU52+NPV($AT$2,$AU53:$AU$79)))/AU52,3)</f>
        <v>333.05599999999998</v>
      </c>
    </row>
    <row r="52" spans="2:50" ht="16" x14ac:dyDescent="0.2">
      <c r="B52" s="32"/>
      <c r="C52" s="52"/>
      <c r="F52" s="32"/>
      <c r="G52" s="52"/>
      <c r="I52" s="32">
        <f t="shared" si="14"/>
        <v>48</v>
      </c>
      <c r="J52" s="20">
        <f t="shared" si="15"/>
        <v>369</v>
      </c>
      <c r="K52" s="20">
        <f t="shared" si="16"/>
        <v>18.45</v>
      </c>
      <c r="L52" s="21">
        <f t="shared" si="17"/>
        <v>25</v>
      </c>
      <c r="M52" s="20">
        <f t="shared" si="0"/>
        <v>50000</v>
      </c>
      <c r="N52" s="22">
        <f t="shared" si="4"/>
        <v>348.55099999999999</v>
      </c>
      <c r="O52" s="33">
        <f t="shared" si="5"/>
        <v>459.00700000000001</v>
      </c>
      <c r="P52" s="24">
        <f t="shared" si="6"/>
        <v>17427.55</v>
      </c>
      <c r="Q52" s="25">
        <f t="shared" si="7"/>
        <v>22950.35</v>
      </c>
      <c r="R52" s="33"/>
      <c r="S52" s="33">
        <v>11.587999999999999</v>
      </c>
      <c r="T52" s="34">
        <f t="shared" si="29"/>
        <v>0.04</v>
      </c>
      <c r="U52" s="35">
        <f t="shared" si="18"/>
        <v>0.11444188360322541</v>
      </c>
      <c r="V52" s="35">
        <f t="shared" si="19"/>
        <v>1.326152547194176E-3</v>
      </c>
      <c r="W52" s="35">
        <f t="shared" si="20"/>
        <v>4.5776753441290167E-3</v>
      </c>
      <c r="X52" s="27">
        <f t="shared" si="21"/>
        <v>0.10853805571190221</v>
      </c>
      <c r="Y52" s="36"/>
      <c r="Z52" s="28">
        <f t="shared" si="22"/>
        <v>2537.6400491121003</v>
      </c>
      <c r="AA52" s="28">
        <f t="shared" si="22"/>
        <v>57.220941801612703</v>
      </c>
      <c r="AB52" s="28">
        <f t="shared" si="23"/>
        <v>2490.9863669076549</v>
      </c>
      <c r="AC52" s="28">
        <f t="shared" si="1"/>
        <v>54.269027855951109</v>
      </c>
      <c r="AD52" s="36"/>
      <c r="AE52" s="28">
        <f t="shared" si="2"/>
        <v>40.050542557691919</v>
      </c>
      <c r="AF52" s="28">
        <f t="shared" si="30"/>
        <v>-2.0025271278845955</v>
      </c>
      <c r="AG52" s="28">
        <f t="shared" si="30"/>
        <v>-2.7134513927975554</v>
      </c>
      <c r="AH52" s="28">
        <f t="shared" si="24"/>
        <v>-66.307627359708803</v>
      </c>
      <c r="AI52" s="28">
        <f t="shared" si="25"/>
        <v>-79.777665943575641</v>
      </c>
      <c r="AJ52" s="28">
        <f t="shared" si="8"/>
        <v>-110.75072926627467</v>
      </c>
      <c r="AK52" s="28">
        <f t="shared" si="9"/>
        <v>46.653682204445431</v>
      </c>
      <c r="AL52" s="28">
        <f t="shared" si="26"/>
        <v>144.80999534889364</v>
      </c>
      <c r="AM52" s="28">
        <f t="shared" si="10"/>
        <v>80.712948287064393</v>
      </c>
      <c r="AN52" s="28">
        <f t="shared" si="11"/>
        <v>2.9519139456615946</v>
      </c>
      <c r="AO52" s="28">
        <f t="shared" si="12"/>
        <v>83.664862232725994</v>
      </c>
      <c r="AT52" s="32">
        <f t="shared" si="27"/>
        <v>48</v>
      </c>
      <c r="AU52" s="30">
        <f t="shared" si="28"/>
        <v>0.8632271434466332</v>
      </c>
      <c r="AV52" s="30">
        <f t="shared" si="13"/>
        <v>1.0003076138259586E-2</v>
      </c>
      <c r="AW52" s="9">
        <f>ROUND((1000*NPV($AT$1,$AV53:$AV$79)-$AW$1*($AU53+NPV($AT$1,$AU54:$AU$79)))/AU53,3)</f>
        <v>459.00700000000001</v>
      </c>
      <c r="AX52" s="9">
        <f>ROUND(MAX(0,1000*NPV($AT$2,$AV53:$AV$79)-$AW$2*($AU53+NPV($AT$2,$AU54:$AU$79)))/AU53,3)</f>
        <v>348.55099999999999</v>
      </c>
    </row>
    <row r="53" spans="2:50" ht="16" x14ac:dyDescent="0.2">
      <c r="B53" s="32"/>
      <c r="C53" s="52"/>
      <c r="F53" s="32"/>
      <c r="G53" s="52"/>
      <c r="I53" s="32">
        <f t="shared" si="14"/>
        <v>49</v>
      </c>
      <c r="J53" s="20">
        <f t="shared" si="15"/>
        <v>369</v>
      </c>
      <c r="K53" s="20">
        <f t="shared" si="16"/>
        <v>18.45</v>
      </c>
      <c r="L53" s="21">
        <f t="shared" si="17"/>
        <v>25</v>
      </c>
      <c r="M53" s="20">
        <f t="shared" si="0"/>
        <v>50000</v>
      </c>
      <c r="N53" s="22">
        <f t="shared" si="4"/>
        <v>364.24200000000002</v>
      </c>
      <c r="O53" s="33">
        <f t="shared" si="5"/>
        <v>474.57799999999997</v>
      </c>
      <c r="P53" s="24">
        <f t="shared" si="6"/>
        <v>18212.099999999999</v>
      </c>
      <c r="Q53" s="25">
        <f t="shared" si="7"/>
        <v>23728.9</v>
      </c>
      <c r="R53" s="33"/>
      <c r="S53" s="33">
        <v>13.028</v>
      </c>
      <c r="T53" s="34">
        <f t="shared" si="29"/>
        <v>0.04</v>
      </c>
      <c r="U53" s="35">
        <f t="shared" si="18"/>
        <v>0.10853805571190221</v>
      </c>
      <c r="V53" s="35">
        <f t="shared" si="19"/>
        <v>1.4140337898146619E-3</v>
      </c>
      <c r="W53" s="35">
        <f t="shared" si="20"/>
        <v>4.3415222284760883E-3</v>
      </c>
      <c r="X53" s="27">
        <f t="shared" si="21"/>
        <v>0.10278249969361146</v>
      </c>
      <c r="Y53" s="36"/>
      <c r="Z53" s="28">
        <f t="shared" si="22"/>
        <v>2490.9863669076549</v>
      </c>
      <c r="AA53" s="28">
        <f t="shared" si="22"/>
        <v>54.269027855951109</v>
      </c>
      <c r="AB53" s="28">
        <f t="shared" si="23"/>
        <v>2438.9156569797369</v>
      </c>
      <c r="AC53" s="28">
        <f t="shared" si="1"/>
        <v>51.391249846805728</v>
      </c>
      <c r="AD53" s="36"/>
      <c r="AE53" s="28">
        <f t="shared" si="2"/>
        <v>37.926742386942628</v>
      </c>
      <c r="AF53" s="28">
        <f t="shared" si="30"/>
        <v>-1.8963371193471315</v>
      </c>
      <c r="AG53" s="28">
        <f t="shared" si="30"/>
        <v>-2.5695624923402867</v>
      </c>
      <c r="AH53" s="28">
        <f t="shared" si="24"/>
        <v>-70.701689490733088</v>
      </c>
      <c r="AI53" s="28">
        <f t="shared" si="25"/>
        <v>-79.068236977229361</v>
      </c>
      <c r="AJ53" s="28">
        <f t="shared" si="8"/>
        <v>-116.30908369270725</v>
      </c>
      <c r="AK53" s="28">
        <f t="shared" si="9"/>
        <v>52.07070992791796</v>
      </c>
      <c r="AL53" s="28">
        <f t="shared" si="26"/>
        <v>141.97071900171611</v>
      </c>
      <c r="AM53" s="28">
        <f t="shared" si="10"/>
        <v>77.732345236926818</v>
      </c>
      <c r="AN53" s="28">
        <f t="shared" si="11"/>
        <v>2.8777780091453806</v>
      </c>
      <c r="AO53" s="28">
        <f t="shared" si="12"/>
        <v>80.610123246072192</v>
      </c>
      <c r="AT53" s="32">
        <f t="shared" si="27"/>
        <v>49</v>
      </c>
      <c r="AU53" s="30">
        <f t="shared" si="28"/>
        <v>0.85322406730837363</v>
      </c>
      <c r="AV53" s="30">
        <f t="shared" si="13"/>
        <v>1.1115803148893494E-2</v>
      </c>
      <c r="AW53" s="9">
        <f>ROUND((1000*NPV($AT$1,$AV54:$AV$79)-$AW$1*($AU54+NPV($AT$1,$AU55:$AU$79)))/AU54,3)</f>
        <v>474.57799999999997</v>
      </c>
      <c r="AX53" s="9">
        <f>ROUND(MAX(0,1000*NPV($AT$2,$AV54:$AV$79)-$AW$2*($AU54+NPV($AT$2,$AU55:$AU$79)))/AU54,3)</f>
        <v>364.24200000000002</v>
      </c>
    </row>
    <row r="54" spans="2:50" ht="16" x14ac:dyDescent="0.2">
      <c r="B54" s="32"/>
      <c r="C54" s="52"/>
      <c r="F54" s="32"/>
      <c r="G54" s="52"/>
      <c r="I54" s="32">
        <f t="shared" si="14"/>
        <v>50</v>
      </c>
      <c r="J54" s="20">
        <f t="shared" si="15"/>
        <v>369</v>
      </c>
      <c r="K54" s="20">
        <f t="shared" si="16"/>
        <v>18.45</v>
      </c>
      <c r="L54" s="21">
        <f t="shared" si="17"/>
        <v>25</v>
      </c>
      <c r="M54" s="20">
        <f t="shared" si="0"/>
        <v>50000</v>
      </c>
      <c r="N54" s="22">
        <f t="shared" si="4"/>
        <v>380.02699999999999</v>
      </c>
      <c r="O54" s="33">
        <f t="shared" si="5"/>
        <v>490.10899999999998</v>
      </c>
      <c r="P54" s="24">
        <f t="shared" si="6"/>
        <v>19001.349999999999</v>
      </c>
      <c r="Q54" s="25">
        <f t="shared" si="7"/>
        <v>24505.45</v>
      </c>
      <c r="R54" s="33"/>
      <c r="S54" s="33">
        <v>14.725999999999999</v>
      </c>
      <c r="T54" s="34">
        <f t="shared" si="29"/>
        <v>0.04</v>
      </c>
      <c r="U54" s="35">
        <f t="shared" si="18"/>
        <v>0.10278249969361146</v>
      </c>
      <c r="V54" s="35">
        <f t="shared" si="19"/>
        <v>1.5135750904881223E-3</v>
      </c>
      <c r="W54" s="35">
        <f t="shared" si="20"/>
        <v>4.1112999877444588E-3</v>
      </c>
      <c r="X54" s="27">
        <f t="shared" si="21"/>
        <v>9.7157624615378885E-2</v>
      </c>
      <c r="Y54" s="36"/>
      <c r="Z54" s="28">
        <f t="shared" si="22"/>
        <v>2438.9156569797369</v>
      </c>
      <c r="AA54" s="28">
        <f t="shared" si="22"/>
        <v>51.391249846805728</v>
      </c>
      <c r="AB54" s="28">
        <f t="shared" si="23"/>
        <v>2380.8913121309365</v>
      </c>
      <c r="AC54" s="28">
        <f t="shared" si="1"/>
        <v>48.578812307689439</v>
      </c>
      <c r="AD54" s="36"/>
      <c r="AE54" s="28">
        <f t="shared" si="2"/>
        <v>35.851163483074806</v>
      </c>
      <c r="AF54" s="28">
        <f t="shared" si="30"/>
        <v>-1.7925581741537404</v>
      </c>
      <c r="AG54" s="28">
        <f t="shared" si="30"/>
        <v>-2.4289406153844721</v>
      </c>
      <c r="AH54" s="28">
        <f t="shared" si="24"/>
        <v>-75.678754524406116</v>
      </c>
      <c r="AI54" s="28">
        <f t="shared" si="25"/>
        <v>-78.120250022128161</v>
      </c>
      <c r="AJ54" s="28">
        <f t="shared" si="8"/>
        <v>-122.16933985299768</v>
      </c>
      <c r="AK54" s="28">
        <f t="shared" si="9"/>
        <v>58.024344848800411</v>
      </c>
      <c r="AL54" s="28">
        <f t="shared" si="26"/>
        <v>138.84010316745051</v>
      </c>
      <c r="AM54" s="28">
        <f t="shared" si="10"/>
        <v>74.695108163253238</v>
      </c>
      <c r="AN54" s="28">
        <f t="shared" si="11"/>
        <v>2.8124375391162886</v>
      </c>
      <c r="AO54" s="28">
        <f t="shared" si="12"/>
        <v>77.507545702369526</v>
      </c>
      <c r="AT54" s="32">
        <f t="shared" si="27"/>
        <v>50</v>
      </c>
      <c r="AU54" s="30">
        <f t="shared" si="28"/>
        <v>0.84210826415948015</v>
      </c>
      <c r="AV54" s="30">
        <f t="shared" si="13"/>
        <v>1.2400886298012503E-2</v>
      </c>
      <c r="AW54" s="9">
        <f>ROUND((1000*NPV($AT$1,$AV55:$AV$79)-$AW$1*($AU55+NPV($AT$1,$AU56:$AU$79)))/AU55,3)</f>
        <v>490.10899999999998</v>
      </c>
      <c r="AX54" s="9">
        <f>ROUND(MAX(0,1000*NPV($AT$2,$AV55:$AV$79)-$AW$2*($AU55+NPV($AT$2,$AU56:$AU$79)))/AU55,3)</f>
        <v>380.02699999999999</v>
      </c>
    </row>
    <row r="55" spans="2:50" ht="16" x14ac:dyDescent="0.2">
      <c r="B55" s="32"/>
      <c r="C55" s="52"/>
      <c r="F55" s="32"/>
      <c r="G55" s="52"/>
      <c r="I55" s="32">
        <f t="shared" si="14"/>
        <v>51</v>
      </c>
      <c r="J55" s="20">
        <f t="shared" si="15"/>
        <v>369</v>
      </c>
      <c r="K55" s="20">
        <f t="shared" si="16"/>
        <v>18.45</v>
      </c>
      <c r="L55" s="21">
        <f t="shared" si="17"/>
        <v>25</v>
      </c>
      <c r="M55" s="20">
        <f t="shared" si="0"/>
        <v>50000</v>
      </c>
      <c r="N55" s="22">
        <f t="shared" si="4"/>
        <v>395.87799999999999</v>
      </c>
      <c r="O55" s="33">
        <f t="shared" si="5"/>
        <v>505.57600000000002</v>
      </c>
      <c r="P55" s="24">
        <f t="shared" si="6"/>
        <v>19793.900000000001</v>
      </c>
      <c r="Q55" s="25">
        <f t="shared" si="7"/>
        <v>25278.799999999999</v>
      </c>
      <c r="R55" s="33"/>
      <c r="S55" s="33">
        <v>16.571999999999999</v>
      </c>
      <c r="T55" s="34">
        <f t="shared" si="29"/>
        <v>0.04</v>
      </c>
      <c r="U55" s="35">
        <f t="shared" si="18"/>
        <v>9.7157624615378885E-2</v>
      </c>
      <c r="V55" s="35">
        <f t="shared" si="19"/>
        <v>1.6100961551260588E-3</v>
      </c>
      <c r="W55" s="35">
        <f t="shared" si="20"/>
        <v>3.8863049846151556E-3</v>
      </c>
      <c r="X55" s="27">
        <f t="shared" si="21"/>
        <v>9.1661223475637668E-2</v>
      </c>
      <c r="Y55" s="36"/>
      <c r="Z55" s="28">
        <f t="shared" si="22"/>
        <v>2380.8913121309365</v>
      </c>
      <c r="AA55" s="28">
        <f t="shared" si="22"/>
        <v>48.578812307689439</v>
      </c>
      <c r="AB55" s="28">
        <f t="shared" si="23"/>
        <v>2317.0857359959496</v>
      </c>
      <c r="AC55" s="28">
        <f t="shared" si="1"/>
        <v>45.830611737818835</v>
      </c>
      <c r="AD55" s="36"/>
      <c r="AE55" s="28">
        <f t="shared" si="2"/>
        <v>33.822991462510302</v>
      </c>
      <c r="AF55" s="28">
        <f t="shared" si="30"/>
        <v>-1.6911495731255148</v>
      </c>
      <c r="AG55" s="28">
        <f t="shared" si="30"/>
        <v>-2.2915305868909419</v>
      </c>
      <c r="AH55" s="28">
        <f t="shared" si="24"/>
        <v>-80.504807756302938</v>
      </c>
      <c r="AI55" s="28">
        <f t="shared" si="25"/>
        <v>-76.92513223497393</v>
      </c>
      <c r="AJ55" s="28">
        <f t="shared" si="8"/>
        <v>-127.58962868878302</v>
      </c>
      <c r="AK55" s="28">
        <f t="shared" si="9"/>
        <v>63.80557613498695</v>
      </c>
      <c r="AL55" s="28">
        <f t="shared" si="26"/>
        <v>135.3881081480406</v>
      </c>
      <c r="AM55" s="28">
        <f t="shared" si="10"/>
        <v>71.604055594244528</v>
      </c>
      <c r="AN55" s="28">
        <f t="shared" si="11"/>
        <v>2.7482005698706047</v>
      </c>
      <c r="AO55" s="28">
        <f t="shared" si="12"/>
        <v>74.352256164115133</v>
      </c>
      <c r="AT55" s="32">
        <f t="shared" si="27"/>
        <v>51</v>
      </c>
      <c r="AU55" s="30">
        <f t="shared" si="28"/>
        <v>0.82970737786146764</v>
      </c>
      <c r="AV55" s="30">
        <f t="shared" si="13"/>
        <v>1.3749910665920241E-2</v>
      </c>
      <c r="AW55" s="9">
        <f>ROUND((1000*NPV($AT$1,$AV56:$AV$79)-$AW$1*($AU56+NPV($AT$1,$AU57:$AU$79)))/AU56,3)</f>
        <v>505.57600000000002</v>
      </c>
      <c r="AX55" s="9">
        <f>ROUND(MAX(0,1000*NPV($AT$2,$AV56:$AV$79)-$AW$2*($AU56+NPV($AT$2,$AU57:$AU$79)))/AU56,3)</f>
        <v>395.87799999999999</v>
      </c>
    </row>
    <row r="56" spans="2:50" ht="16" x14ac:dyDescent="0.2">
      <c r="B56" s="32"/>
      <c r="C56" s="52"/>
      <c r="F56" s="32"/>
      <c r="G56" s="52"/>
      <c r="I56" s="32">
        <f t="shared" si="14"/>
        <v>52</v>
      </c>
      <c r="J56" s="20">
        <f t="shared" si="15"/>
        <v>369</v>
      </c>
      <c r="K56" s="20">
        <f t="shared" si="16"/>
        <v>18.45</v>
      </c>
      <c r="L56" s="21">
        <f t="shared" si="17"/>
        <v>25</v>
      </c>
      <c r="M56" s="20">
        <f t="shared" si="0"/>
        <v>50000</v>
      </c>
      <c r="N56" s="22">
        <f t="shared" si="4"/>
        <v>411.83600000000001</v>
      </c>
      <c r="O56" s="33">
        <f t="shared" si="5"/>
        <v>521.01499999999999</v>
      </c>
      <c r="P56" s="24">
        <f t="shared" si="6"/>
        <v>20591.8</v>
      </c>
      <c r="Q56" s="25">
        <f t="shared" si="7"/>
        <v>26050.75</v>
      </c>
      <c r="R56" s="33"/>
      <c r="S56" s="33">
        <v>18.456</v>
      </c>
      <c r="T56" s="34">
        <f t="shared" si="29"/>
        <v>0.04</v>
      </c>
      <c r="U56" s="35">
        <f t="shared" si="18"/>
        <v>9.1661223475637668E-2</v>
      </c>
      <c r="V56" s="35">
        <f t="shared" si="19"/>
        <v>1.6916995404663688E-3</v>
      </c>
      <c r="W56" s="35">
        <f t="shared" si="20"/>
        <v>3.6664489390255068E-3</v>
      </c>
      <c r="X56" s="27">
        <f t="shared" si="21"/>
        <v>8.6303074996145798E-2</v>
      </c>
      <c r="Y56" s="36"/>
      <c r="Z56" s="28">
        <f t="shared" si="22"/>
        <v>2317.0857359959496</v>
      </c>
      <c r="AA56" s="28">
        <f t="shared" si="22"/>
        <v>45.830611737818835</v>
      </c>
      <c r="AB56" s="28">
        <f t="shared" si="23"/>
        <v>2248.2598309558452</v>
      </c>
      <c r="AC56" s="28">
        <f t="shared" si="1"/>
        <v>43.151537498072898</v>
      </c>
      <c r="AD56" s="36"/>
      <c r="AE56" s="28">
        <f t="shared" si="2"/>
        <v>31.845834673577798</v>
      </c>
      <c r="AF56" s="28">
        <f t="shared" si="30"/>
        <v>-1.59229173367889</v>
      </c>
      <c r="AG56" s="28">
        <f t="shared" si="30"/>
        <v>-2.1575768749036448</v>
      </c>
      <c r="AH56" s="28">
        <f t="shared" si="24"/>
        <v>-84.584977023318444</v>
      </c>
      <c r="AI56" s="28">
        <f t="shared" si="25"/>
        <v>-75.498783262625423</v>
      </c>
      <c r="AJ56" s="28">
        <f t="shared" si="8"/>
        <v>-131.98779422094862</v>
      </c>
      <c r="AK56" s="28">
        <f t="shared" si="9"/>
        <v>68.825905040104317</v>
      </c>
      <c r="AL56" s="28">
        <f t="shared" si="26"/>
        <v>131.6243439870517</v>
      </c>
      <c r="AM56" s="28">
        <f t="shared" si="10"/>
        <v>68.462454806207404</v>
      </c>
      <c r="AN56" s="28">
        <f t="shared" si="11"/>
        <v>2.6790742397459368</v>
      </c>
      <c r="AO56" s="28">
        <f t="shared" si="12"/>
        <v>71.141529045953348</v>
      </c>
      <c r="AT56" s="32">
        <f t="shared" si="27"/>
        <v>52</v>
      </c>
      <c r="AU56" s="30">
        <f t="shared" si="28"/>
        <v>0.8159574671955474</v>
      </c>
      <c r="AV56" s="30">
        <f t="shared" si="13"/>
        <v>1.5059311014561021E-2</v>
      </c>
      <c r="AW56" s="9">
        <f>ROUND((1000*NPV($AT$1,$AV57:$AV$79)-$AW$1*($AU57+NPV($AT$1,$AU58:$AU$79)))/AU57,3)</f>
        <v>521.01499999999999</v>
      </c>
      <c r="AX56" s="9">
        <f>ROUND(MAX(0,1000*NPV($AT$2,$AV57:$AV$79)-$AW$2*($AU57+NPV($AT$2,$AU58:$AU$79)))/AU57,3)</f>
        <v>411.83600000000001</v>
      </c>
    </row>
    <row r="57" spans="2:50" ht="16" x14ac:dyDescent="0.2">
      <c r="I57" s="32">
        <f t="shared" si="14"/>
        <v>53</v>
      </c>
      <c r="J57" s="20">
        <f t="shared" si="15"/>
        <v>369</v>
      </c>
      <c r="K57" s="20">
        <f t="shared" si="16"/>
        <v>18.45</v>
      </c>
      <c r="L57" s="21">
        <f t="shared" si="17"/>
        <v>25</v>
      </c>
      <c r="M57" s="20">
        <f t="shared" si="0"/>
        <v>50000</v>
      </c>
      <c r="N57" s="22">
        <f t="shared" si="4"/>
        <v>428.01299999999998</v>
      </c>
      <c r="O57" s="33">
        <f t="shared" si="5"/>
        <v>536.51700000000005</v>
      </c>
      <c r="P57" s="24">
        <f t="shared" si="6"/>
        <v>21400.65</v>
      </c>
      <c r="Q57" s="25">
        <f t="shared" si="7"/>
        <v>26825.850000000002</v>
      </c>
      <c r="R57" s="33"/>
      <c r="S57" s="33">
        <v>20.268999999999998</v>
      </c>
      <c r="T57" s="34">
        <f t="shared" si="29"/>
        <v>0.04</v>
      </c>
      <c r="U57" s="35">
        <f t="shared" si="18"/>
        <v>8.6303074996145798E-2</v>
      </c>
      <c r="V57" s="35">
        <f t="shared" si="19"/>
        <v>1.749277027096879E-3</v>
      </c>
      <c r="W57" s="35">
        <f t="shared" si="20"/>
        <v>3.4521229998458322E-3</v>
      </c>
      <c r="X57" s="27">
        <f t="shared" si="21"/>
        <v>8.1101674969203091E-2</v>
      </c>
      <c r="Y57" s="36"/>
      <c r="Z57" s="28">
        <f t="shared" si="22"/>
        <v>2248.2598309558452</v>
      </c>
      <c r="AA57" s="28">
        <f t="shared" si="22"/>
        <v>43.151537498072898</v>
      </c>
      <c r="AB57" s="28">
        <f t="shared" si="23"/>
        <v>2175.6213674725968</v>
      </c>
      <c r="AC57" s="28">
        <f t="shared" si="1"/>
        <v>40.550837484601544</v>
      </c>
      <c r="AD57" s="36"/>
      <c r="AE57" s="28">
        <f t="shared" si="2"/>
        <v>29.926518063635942</v>
      </c>
      <c r="AF57" s="28">
        <f t="shared" ref="AF57:AG79" si="31">-$X57*K57</f>
        <v>-1.496325903181797</v>
      </c>
      <c r="AG57" s="28">
        <f t="shared" si="31"/>
        <v>-2.0275418742300775</v>
      </c>
      <c r="AH57" s="28">
        <f t="shared" si="24"/>
        <v>-87.463851354843953</v>
      </c>
      <c r="AI57" s="28">
        <f t="shared" si="25"/>
        <v>-73.877676076650715</v>
      </c>
      <c r="AJ57" s="28">
        <f t="shared" si="8"/>
        <v>-134.9388771452706</v>
      </c>
      <c r="AK57" s="28">
        <f t="shared" si="9"/>
        <v>72.638463483248415</v>
      </c>
      <c r="AL57" s="28">
        <f t="shared" si="26"/>
        <v>127.59128583379045</v>
      </c>
      <c r="AM57" s="28">
        <f t="shared" si="10"/>
        <v>65.290872171768271</v>
      </c>
      <c r="AN57" s="28">
        <f t="shared" si="11"/>
        <v>2.6007000134713536</v>
      </c>
      <c r="AO57" s="28">
        <f t="shared" si="12"/>
        <v>67.891572185239625</v>
      </c>
      <c r="AT57" s="32">
        <f t="shared" si="27"/>
        <v>53</v>
      </c>
      <c r="AU57" s="30">
        <f t="shared" si="28"/>
        <v>0.80089815618098636</v>
      </c>
      <c r="AV57" s="30">
        <f t="shared" si="13"/>
        <v>1.6233404727632413E-2</v>
      </c>
      <c r="AW57" s="9">
        <f>ROUND((1000*NPV($AT$1,$AV58:$AV$79)-$AW$1*($AU58+NPV($AT$1,$AU59:$AU$79)))/AU58,3)</f>
        <v>536.51700000000005</v>
      </c>
      <c r="AX57" s="9">
        <f>ROUND(MAX(0,1000*NPV($AT$2,$AV58:$AV$79)-$AW$2*($AU58+NPV($AT$2,$AU59:$AU$79)))/AU58,3)</f>
        <v>428.01299999999998</v>
      </c>
    </row>
    <row r="58" spans="2:50" ht="16" x14ac:dyDescent="0.2">
      <c r="I58" s="32">
        <f t="shared" si="14"/>
        <v>54</v>
      </c>
      <c r="J58" s="20">
        <f t="shared" si="15"/>
        <v>369</v>
      </c>
      <c r="K58" s="20">
        <f t="shared" si="16"/>
        <v>18.45</v>
      </c>
      <c r="L58" s="21">
        <f t="shared" si="17"/>
        <v>25</v>
      </c>
      <c r="M58" s="20">
        <f t="shared" si="0"/>
        <v>50000</v>
      </c>
      <c r="N58" s="22">
        <f t="shared" si="4"/>
        <v>444.56900000000002</v>
      </c>
      <c r="O58" s="33">
        <f t="shared" si="5"/>
        <v>552.21</v>
      </c>
      <c r="P58" s="24">
        <f t="shared" si="6"/>
        <v>22228.45</v>
      </c>
      <c r="Q58" s="25">
        <f t="shared" si="7"/>
        <v>27610.5</v>
      </c>
      <c r="R58" s="33"/>
      <c r="S58" s="33">
        <v>21.939</v>
      </c>
      <c r="T58" s="34">
        <f t="shared" si="29"/>
        <v>0.04</v>
      </c>
      <c r="U58" s="35">
        <f t="shared" si="18"/>
        <v>8.1101674969203091E-2</v>
      </c>
      <c r="V58" s="35">
        <f t="shared" si="19"/>
        <v>1.7792896471493466E-3</v>
      </c>
      <c r="W58" s="35">
        <f t="shared" si="20"/>
        <v>3.2440669987681236E-3</v>
      </c>
      <c r="X58" s="27">
        <f t="shared" si="21"/>
        <v>7.6078318323285626E-2</v>
      </c>
      <c r="Y58" s="36"/>
      <c r="Z58" s="28">
        <f t="shared" si="22"/>
        <v>2175.6213674725968</v>
      </c>
      <c r="AA58" s="28">
        <f t="shared" si="22"/>
        <v>40.550837484601544</v>
      </c>
      <c r="AB58" s="28">
        <f t="shared" si="23"/>
        <v>2100.5604080650778</v>
      </c>
      <c r="AC58" s="28">
        <f t="shared" si="1"/>
        <v>38.039159161642814</v>
      </c>
      <c r="AD58" s="36"/>
      <c r="AE58" s="28">
        <f t="shared" si="2"/>
        <v>28.072899461292398</v>
      </c>
      <c r="AF58" s="28">
        <f t="shared" si="31"/>
        <v>-1.4036449730646197</v>
      </c>
      <c r="AG58" s="28">
        <f t="shared" si="31"/>
        <v>-1.9019579580821406</v>
      </c>
      <c r="AH58" s="28">
        <f t="shared" si="24"/>
        <v>-88.964482357467332</v>
      </c>
      <c r="AI58" s="28">
        <f t="shared" si="25"/>
        <v>-72.110581078767297</v>
      </c>
      <c r="AJ58" s="28">
        <f t="shared" si="8"/>
        <v>-136.307766906089</v>
      </c>
      <c r="AK58" s="28">
        <f t="shared" si="9"/>
        <v>75.060959407519022</v>
      </c>
      <c r="AL58" s="28">
        <f t="shared" si="26"/>
        <v>123.35628026949844</v>
      </c>
      <c r="AM58" s="28">
        <f t="shared" si="10"/>
        <v>62.109472770928463</v>
      </c>
      <c r="AN58" s="28">
        <f t="shared" si="11"/>
        <v>2.5116783229587298</v>
      </c>
      <c r="AO58" s="28">
        <f t="shared" si="12"/>
        <v>64.621151093887192</v>
      </c>
      <c r="AT58" s="32">
        <f t="shared" si="27"/>
        <v>54</v>
      </c>
      <c r="AU58" s="30">
        <f t="shared" si="28"/>
        <v>0.7846647514533539</v>
      </c>
      <c r="AV58" s="30">
        <f t="shared" si="13"/>
        <v>1.721475998213513E-2</v>
      </c>
      <c r="AW58" s="9">
        <f>ROUND((1000*NPV($AT$1,$AV59:$AV$79)-$AW$1*($AU59+NPV($AT$1,$AU60:$AU$79)))/AU59,3)</f>
        <v>552.21</v>
      </c>
      <c r="AX58" s="9">
        <f>ROUND(MAX(0,1000*NPV($AT$2,$AV59:$AV$79)-$AW$2*($AU59+NPV($AT$2,$AU60:$AU$79)))/AU59,3)</f>
        <v>444.56900000000002</v>
      </c>
    </row>
    <row r="59" spans="2:50" ht="16" x14ac:dyDescent="0.2">
      <c r="I59" s="32">
        <f t="shared" si="14"/>
        <v>55</v>
      </c>
      <c r="J59" s="20">
        <f t="shared" si="15"/>
        <v>369</v>
      </c>
      <c r="K59" s="20">
        <f t="shared" si="16"/>
        <v>18.45</v>
      </c>
      <c r="L59" s="21">
        <f t="shared" si="17"/>
        <v>25</v>
      </c>
      <c r="M59" s="20">
        <f t="shared" si="0"/>
        <v>50000</v>
      </c>
      <c r="N59" s="22">
        <f t="shared" si="4"/>
        <v>461.62400000000002</v>
      </c>
      <c r="O59" s="33">
        <f t="shared" si="5"/>
        <v>568.18299999999999</v>
      </c>
      <c r="P59" s="24">
        <f t="shared" si="6"/>
        <v>23081.200000000001</v>
      </c>
      <c r="Q59" s="25">
        <f t="shared" si="7"/>
        <v>28409.15</v>
      </c>
      <c r="R59" s="33"/>
      <c r="S59" s="33">
        <v>23.553000000000001</v>
      </c>
      <c r="T59" s="34">
        <f t="shared" si="29"/>
        <v>0.04</v>
      </c>
      <c r="U59" s="35">
        <f t="shared" si="18"/>
        <v>7.6078318323285626E-2</v>
      </c>
      <c r="V59" s="35">
        <f t="shared" si="19"/>
        <v>1.7918726314683465E-3</v>
      </c>
      <c r="W59" s="35">
        <f t="shared" si="20"/>
        <v>3.0431327329314252E-3</v>
      </c>
      <c r="X59" s="27">
        <f t="shared" si="21"/>
        <v>7.1243312958885849E-2</v>
      </c>
      <c r="Y59" s="36"/>
      <c r="Z59" s="28">
        <f t="shared" si="22"/>
        <v>2100.5604080650778</v>
      </c>
      <c r="AA59" s="28">
        <f t="shared" si="22"/>
        <v>38.039159161642814</v>
      </c>
      <c r="AB59" s="28">
        <f t="shared" si="23"/>
        <v>2023.9619643459321</v>
      </c>
      <c r="AC59" s="28">
        <f t="shared" si="1"/>
        <v>35.621656479442926</v>
      </c>
      <c r="AD59" s="36"/>
      <c r="AE59" s="28">
        <f t="shared" si="2"/>
        <v>26.288782481828878</v>
      </c>
      <c r="AF59" s="28">
        <f t="shared" si="31"/>
        <v>-1.3144391240914439</v>
      </c>
      <c r="AG59" s="28">
        <f t="shared" si="31"/>
        <v>-1.7810828239721461</v>
      </c>
      <c r="AH59" s="28">
        <f t="shared" si="24"/>
        <v>-89.593631573417326</v>
      </c>
      <c r="AI59" s="28">
        <f t="shared" si="25"/>
        <v>-70.23915523533681</v>
      </c>
      <c r="AJ59" s="28">
        <f t="shared" si="8"/>
        <v>-136.63952627498884</v>
      </c>
      <c r="AK59" s="28">
        <f t="shared" si="9"/>
        <v>76.598443719145735</v>
      </c>
      <c r="AL59" s="28">
        <f t="shared" si="26"/>
        <v>118.9965650821452</v>
      </c>
      <c r="AM59" s="28">
        <f t="shared" si="10"/>
        <v>58.955482526302092</v>
      </c>
      <c r="AN59" s="28">
        <f t="shared" si="11"/>
        <v>2.4175026821998884</v>
      </c>
      <c r="AO59" s="28">
        <f t="shared" si="12"/>
        <v>61.37298520850198</v>
      </c>
      <c r="AT59" s="32">
        <f t="shared" si="27"/>
        <v>55</v>
      </c>
      <c r="AU59" s="30">
        <f t="shared" si="28"/>
        <v>0.76744999147121873</v>
      </c>
      <c r="AV59" s="30">
        <f t="shared" si="13"/>
        <v>1.8075749649121616E-2</v>
      </c>
      <c r="AW59" s="9">
        <f>ROUND((1000*NPV($AT$1,$AV60:$AV$79)-$AW$1*($AU60+NPV($AT$1,$AU61:$AU$79)))/AU60,3)</f>
        <v>568.18299999999999</v>
      </c>
      <c r="AX59" s="9">
        <f>ROUND(MAX(0,1000*NPV($AT$2,$AV60:$AV$79)-$AW$2*($AU60+NPV($AT$2,$AU61:$AU$79)))/AU60,3)</f>
        <v>461.62400000000002</v>
      </c>
    </row>
    <row r="60" spans="2:50" ht="16" x14ac:dyDescent="0.2">
      <c r="I60" s="32">
        <f t="shared" si="14"/>
        <v>56</v>
      </c>
      <c r="J60" s="20">
        <f t="shared" si="15"/>
        <v>369</v>
      </c>
      <c r="K60" s="20">
        <f t="shared" si="16"/>
        <v>18.45</v>
      </c>
      <c r="L60" s="21">
        <f t="shared" si="17"/>
        <v>25</v>
      </c>
      <c r="M60" s="20">
        <f t="shared" si="0"/>
        <v>50000</v>
      </c>
      <c r="N60" s="22">
        <f t="shared" si="4"/>
        <v>479.23899999999998</v>
      </c>
      <c r="O60" s="33">
        <f t="shared" si="5"/>
        <v>584.48</v>
      </c>
      <c r="P60" s="24">
        <f t="shared" si="6"/>
        <v>23961.95</v>
      </c>
      <c r="Q60" s="25">
        <f t="shared" si="7"/>
        <v>29224</v>
      </c>
      <c r="R60" s="33"/>
      <c r="S60" s="33">
        <v>25.236999999999998</v>
      </c>
      <c r="T60" s="34">
        <f t="shared" si="29"/>
        <v>0.04</v>
      </c>
      <c r="U60" s="35">
        <f t="shared" si="18"/>
        <v>7.1243312958885849E-2</v>
      </c>
      <c r="V60" s="35">
        <f t="shared" si="19"/>
        <v>1.7979674891434021E-3</v>
      </c>
      <c r="W60" s="35">
        <f t="shared" si="20"/>
        <v>2.8497325183554339E-3</v>
      </c>
      <c r="X60" s="27">
        <f t="shared" si="21"/>
        <v>6.6595612951387009E-2</v>
      </c>
      <c r="Y60" s="36"/>
      <c r="Z60" s="28">
        <f t="shared" ref="Z60:AA79" si="32">AB59</f>
        <v>2023.9619643459321</v>
      </c>
      <c r="AA60" s="28">
        <f t="shared" si="32"/>
        <v>35.621656479442926</v>
      </c>
      <c r="AB60" s="28">
        <f t="shared" si="23"/>
        <v>1946.1901928913339</v>
      </c>
      <c r="AC60" s="28">
        <f t="shared" si="1"/>
        <v>33.297806475693505</v>
      </c>
      <c r="AD60" s="36"/>
      <c r="AE60" s="28">
        <f t="shared" si="2"/>
        <v>24.573781179061807</v>
      </c>
      <c r="AF60" s="28">
        <f t="shared" si="31"/>
        <v>-1.2286890589530903</v>
      </c>
      <c r="AG60" s="28">
        <f t="shared" si="31"/>
        <v>-1.6648903237846753</v>
      </c>
      <c r="AH60" s="28">
        <f t="shared" si="24"/>
        <v>-89.898374457170107</v>
      </c>
      <c r="AI60" s="28">
        <f t="shared" si="25"/>
        <v>-68.28514811820699</v>
      </c>
      <c r="AJ60" s="28">
        <f t="shared" si="8"/>
        <v>-136.50332077905307</v>
      </c>
      <c r="AK60" s="28">
        <f t="shared" si="9"/>
        <v>77.771771454598138</v>
      </c>
      <c r="AL60" s="28">
        <f t="shared" si="26"/>
        <v>114.5610792120016</v>
      </c>
      <c r="AM60" s="28">
        <f t="shared" si="10"/>
        <v>55.82952988754667</v>
      </c>
      <c r="AN60" s="28">
        <f t="shared" si="11"/>
        <v>2.3238500037494205</v>
      </c>
      <c r="AO60" s="28">
        <f t="shared" si="12"/>
        <v>58.15337989129609</v>
      </c>
      <c r="AT60" s="32">
        <f t="shared" si="27"/>
        <v>56</v>
      </c>
      <c r="AU60" s="30">
        <f t="shared" si="28"/>
        <v>0.74937424182209711</v>
      </c>
      <c r="AV60" s="30">
        <f t="shared" si="13"/>
        <v>1.8911957740864262E-2</v>
      </c>
      <c r="AW60" s="9">
        <f>ROUND((1000*NPV($AT$1,$AV61:$AV$79)-$AW$1*($AU61+NPV($AT$1,$AU62:$AU$79)))/AU61,3)</f>
        <v>584.48</v>
      </c>
      <c r="AX60" s="9">
        <f>ROUND(MAX(0,1000*NPV($AT$2,$AV61:$AV$79)-$AW$2*($AU61+NPV($AT$2,$AU62:$AU$79)))/AU61,3)</f>
        <v>479.23899999999998</v>
      </c>
    </row>
    <row r="61" spans="2:50" ht="16" x14ac:dyDescent="0.2">
      <c r="I61" s="32">
        <f t="shared" si="14"/>
        <v>57</v>
      </c>
      <c r="J61" s="20">
        <f t="shared" si="15"/>
        <v>369</v>
      </c>
      <c r="K61" s="20">
        <f t="shared" si="16"/>
        <v>18.45</v>
      </c>
      <c r="L61" s="21">
        <f t="shared" si="17"/>
        <v>25</v>
      </c>
      <c r="M61" s="20">
        <f t="shared" si="0"/>
        <v>50000</v>
      </c>
      <c r="N61" s="22">
        <f t="shared" si="4"/>
        <v>497.42500000000001</v>
      </c>
      <c r="O61" s="33">
        <f t="shared" si="5"/>
        <v>601.09799999999996</v>
      </c>
      <c r="P61" s="24">
        <f t="shared" si="6"/>
        <v>24871.25</v>
      </c>
      <c r="Q61" s="25">
        <f t="shared" si="7"/>
        <v>30054.899999999998</v>
      </c>
      <c r="R61" s="33"/>
      <c r="S61" s="33">
        <v>27.117999999999999</v>
      </c>
      <c r="T61" s="34">
        <f t="shared" si="29"/>
        <v>0.04</v>
      </c>
      <c r="U61" s="35">
        <f t="shared" si="18"/>
        <v>6.6595612951387009E-2</v>
      </c>
      <c r="V61" s="35">
        <f t="shared" si="19"/>
        <v>1.8059398320157127E-3</v>
      </c>
      <c r="W61" s="35">
        <f t="shared" si="20"/>
        <v>2.6638245180554804E-3</v>
      </c>
      <c r="X61" s="27">
        <f t="shared" si="21"/>
        <v>6.2125848601315814E-2</v>
      </c>
      <c r="Y61" s="36"/>
      <c r="Z61" s="28">
        <f t="shared" si="32"/>
        <v>1946.1901928913339</v>
      </c>
      <c r="AA61" s="28">
        <f t="shared" si="32"/>
        <v>33.297806475693505</v>
      </c>
      <c r="AB61" s="28">
        <f t="shared" si="23"/>
        <v>1867.1861671276865</v>
      </c>
      <c r="AC61" s="28">
        <f t="shared" si="1"/>
        <v>31.062924300657908</v>
      </c>
      <c r="AD61" s="36"/>
      <c r="AE61" s="28">
        <f t="shared" si="2"/>
        <v>22.924438133885534</v>
      </c>
      <c r="AF61" s="28">
        <f t="shared" si="31"/>
        <v>-1.1462219066942767</v>
      </c>
      <c r="AG61" s="28">
        <f t="shared" si="31"/>
        <v>-1.5531462150328954</v>
      </c>
      <c r="AH61" s="28">
        <f t="shared" si="24"/>
        <v>-90.296991600785631</v>
      </c>
      <c r="AI61" s="28">
        <f t="shared" si="25"/>
        <v>-66.252645544687368</v>
      </c>
      <c r="AJ61" s="28">
        <f t="shared" si="8"/>
        <v>-136.32456713331464</v>
      </c>
      <c r="AK61" s="28">
        <f t="shared" si="9"/>
        <v>79.004025763647405</v>
      </c>
      <c r="AL61" s="28">
        <f t="shared" si="26"/>
        <v>110.06964185768203</v>
      </c>
      <c r="AM61" s="28">
        <f t="shared" si="10"/>
        <v>52.74910048801479</v>
      </c>
      <c r="AN61" s="28">
        <f t="shared" si="11"/>
        <v>2.2348821750355974</v>
      </c>
      <c r="AO61" s="28">
        <f t="shared" si="12"/>
        <v>54.983982663050384</v>
      </c>
      <c r="AT61" s="32">
        <f t="shared" si="27"/>
        <v>57</v>
      </c>
      <c r="AU61" s="30">
        <f t="shared" si="28"/>
        <v>0.73046228408123282</v>
      </c>
      <c r="AV61" s="30">
        <f t="shared" si="13"/>
        <v>1.9808676219714869E-2</v>
      </c>
      <c r="AW61" s="9">
        <f>ROUND((1000*NPV($AT$1,$AV62:$AV$79)-$AW$1*($AU62+NPV($AT$1,$AU63:$AU$79)))/AU62,3)</f>
        <v>601.09799999999996</v>
      </c>
      <c r="AX61" s="9">
        <f>ROUND(MAX(0,1000*NPV($AT$2,$AV62:$AV$79)-$AW$2*($AU62+NPV($AT$2,$AU63:$AU$79)))/AU62,3)</f>
        <v>497.42500000000001</v>
      </c>
    </row>
    <row r="62" spans="2:50" ht="16" x14ac:dyDescent="0.2">
      <c r="I62" s="32">
        <f t="shared" si="14"/>
        <v>58</v>
      </c>
      <c r="J62" s="20">
        <f t="shared" si="15"/>
        <v>369</v>
      </c>
      <c r="K62" s="20">
        <f t="shared" si="16"/>
        <v>18.45</v>
      </c>
      <c r="L62" s="21">
        <f t="shared" si="17"/>
        <v>25</v>
      </c>
      <c r="M62" s="20">
        <f t="shared" si="0"/>
        <v>50000</v>
      </c>
      <c r="N62" s="22">
        <f t="shared" si="4"/>
        <v>516.14400000000001</v>
      </c>
      <c r="O62" s="33">
        <f t="shared" si="5"/>
        <v>617.99699999999996</v>
      </c>
      <c r="P62" s="24">
        <f t="shared" si="6"/>
        <v>25807.200000000001</v>
      </c>
      <c r="Q62" s="25">
        <f t="shared" si="7"/>
        <v>30899.849999999995</v>
      </c>
      <c r="R62" s="33"/>
      <c r="S62" s="33">
        <v>29.321000000000002</v>
      </c>
      <c r="T62" s="34">
        <f t="shared" si="29"/>
        <v>0.04</v>
      </c>
      <c r="U62" s="35">
        <f t="shared" si="18"/>
        <v>6.2125848601315814E-2</v>
      </c>
      <c r="V62" s="35">
        <f t="shared" si="19"/>
        <v>1.821592006839181E-3</v>
      </c>
      <c r="W62" s="35">
        <f t="shared" si="20"/>
        <v>2.4850339440526327E-3</v>
      </c>
      <c r="X62" s="27">
        <f t="shared" si="21"/>
        <v>5.7819222650424003E-2</v>
      </c>
      <c r="Y62" s="36"/>
      <c r="Z62" s="28">
        <f t="shared" si="32"/>
        <v>1867.1861671276865</v>
      </c>
      <c r="AA62" s="28">
        <f t="shared" si="32"/>
        <v>31.062924300657908</v>
      </c>
      <c r="AB62" s="28">
        <f t="shared" si="23"/>
        <v>1786.6053070147038</v>
      </c>
      <c r="AC62" s="28">
        <f t="shared" si="1"/>
        <v>28.909611325212001</v>
      </c>
      <c r="AD62" s="36"/>
      <c r="AE62" s="28">
        <f t="shared" si="2"/>
        <v>21.335293158006458</v>
      </c>
      <c r="AF62" s="28">
        <f t="shared" si="31"/>
        <v>-1.0667646579003227</v>
      </c>
      <c r="AG62" s="28">
        <f t="shared" si="31"/>
        <v>-1.4454805662606001</v>
      </c>
      <c r="AH62" s="28">
        <f t="shared" si="24"/>
        <v>-91.079600341959051</v>
      </c>
      <c r="AI62" s="28">
        <f t="shared" si="25"/>
        <v>-64.131768000955105</v>
      </c>
      <c r="AJ62" s="28">
        <f t="shared" si="8"/>
        <v>-136.38832040906863</v>
      </c>
      <c r="AK62" s="28">
        <f t="shared" si="9"/>
        <v>80.580860112982691</v>
      </c>
      <c r="AL62" s="28">
        <f t="shared" si="26"/>
        <v>105.51846909606478</v>
      </c>
      <c r="AM62" s="28">
        <f t="shared" si="10"/>
        <v>49.711008799978842</v>
      </c>
      <c r="AN62" s="28">
        <f t="shared" si="11"/>
        <v>2.1533129754459068</v>
      </c>
      <c r="AO62" s="28">
        <f t="shared" si="12"/>
        <v>51.864321775424749</v>
      </c>
      <c r="AT62" s="32">
        <f t="shared" si="27"/>
        <v>58</v>
      </c>
      <c r="AU62" s="30">
        <f t="shared" si="28"/>
        <v>0.71065360786151799</v>
      </c>
      <c r="AV62" s="30">
        <f t="shared" si="13"/>
        <v>2.0837074436107571E-2</v>
      </c>
      <c r="AW62" s="9">
        <f>ROUND((1000*NPV($AT$1,$AV63:$AV$79)-$AW$1*($AU63+NPV($AT$1,$AU64:$AU$79)))/AU63,3)</f>
        <v>617.99699999999996</v>
      </c>
      <c r="AX62" s="9">
        <f>ROUND(MAX(0,1000*NPV($AT$2,$AV63:$AV$79)-$AW$2*($AU63+NPV($AT$2,$AU64:$AU$79)))/AU63,3)</f>
        <v>516.14400000000001</v>
      </c>
    </row>
    <row r="63" spans="2:50" ht="16" x14ac:dyDescent="0.2">
      <c r="I63" s="32">
        <f t="shared" si="14"/>
        <v>59</v>
      </c>
      <c r="J63" s="20">
        <f t="shared" si="15"/>
        <v>369</v>
      </c>
      <c r="K63" s="20">
        <f t="shared" si="16"/>
        <v>18.45</v>
      </c>
      <c r="L63" s="21">
        <f t="shared" si="17"/>
        <v>25</v>
      </c>
      <c r="M63" s="20">
        <f t="shared" si="0"/>
        <v>50000</v>
      </c>
      <c r="N63" s="22">
        <f t="shared" si="4"/>
        <v>535.32600000000002</v>
      </c>
      <c r="O63" s="33">
        <f t="shared" si="5"/>
        <v>635.11500000000001</v>
      </c>
      <c r="P63" s="24">
        <f t="shared" si="6"/>
        <v>26766.3</v>
      </c>
      <c r="Q63" s="25">
        <f t="shared" si="7"/>
        <v>31755.75</v>
      </c>
      <c r="R63" s="33"/>
      <c r="S63" s="33">
        <v>31.952000000000002</v>
      </c>
      <c r="T63" s="34">
        <f t="shared" si="29"/>
        <v>0.04</v>
      </c>
      <c r="U63" s="35">
        <f t="shared" si="18"/>
        <v>5.7819222650424003E-2</v>
      </c>
      <c r="V63" s="35">
        <f t="shared" si="19"/>
        <v>1.8474398021263477E-3</v>
      </c>
      <c r="W63" s="35">
        <f t="shared" si="20"/>
        <v>2.31276890601696E-3</v>
      </c>
      <c r="X63" s="27">
        <f t="shared" si="21"/>
        <v>5.3659013942280696E-2</v>
      </c>
      <c r="Y63" s="36"/>
      <c r="Z63" s="28">
        <f t="shared" si="32"/>
        <v>1786.6053070147038</v>
      </c>
      <c r="AA63" s="28">
        <f t="shared" si="32"/>
        <v>28.909611325212001</v>
      </c>
      <c r="AB63" s="28">
        <f t="shared" si="23"/>
        <v>1703.9822319975801</v>
      </c>
      <c r="AC63" s="28">
        <f t="shared" si="1"/>
        <v>26.829506971140347</v>
      </c>
      <c r="AD63" s="36"/>
      <c r="AE63" s="28">
        <f t="shared" si="2"/>
        <v>19.800176144701577</v>
      </c>
      <c r="AF63" s="28">
        <f t="shared" si="31"/>
        <v>-0.99000880723507878</v>
      </c>
      <c r="AG63" s="28">
        <f t="shared" si="31"/>
        <v>-1.3414753485570174</v>
      </c>
      <c r="AH63" s="28">
        <f t="shared" si="24"/>
        <v>-92.371990106317384</v>
      </c>
      <c r="AI63" s="28">
        <f t="shared" si="25"/>
        <v>-61.904266369121757</v>
      </c>
      <c r="AJ63" s="28">
        <f t="shared" si="8"/>
        <v>-136.80756448652966</v>
      </c>
      <c r="AK63" s="28">
        <f t="shared" si="9"/>
        <v>82.62307501712371</v>
      </c>
      <c r="AL63" s="28">
        <f t="shared" si="26"/>
        <v>100.88787971225602</v>
      </c>
      <c r="AM63" s="28">
        <f t="shared" si="10"/>
        <v>46.703390242850077</v>
      </c>
      <c r="AN63" s="28">
        <f t="shared" si="11"/>
        <v>2.0801043540716542</v>
      </c>
      <c r="AO63" s="28">
        <f t="shared" si="12"/>
        <v>48.783494596921727</v>
      </c>
      <c r="AT63" s="32">
        <f t="shared" si="27"/>
        <v>59</v>
      </c>
      <c r="AU63" s="30">
        <f t="shared" si="28"/>
        <v>0.68981653342541038</v>
      </c>
      <c r="AV63" s="30">
        <f t="shared" si="13"/>
        <v>2.2041017876008713E-2</v>
      </c>
      <c r="AW63" s="9">
        <f>ROUND((1000*NPV($AT$1,$AV64:$AV$79)-$AW$1*($AU64+NPV($AT$1,$AU65:$AU$79)))/AU64,3)</f>
        <v>635.11500000000001</v>
      </c>
      <c r="AX63" s="9">
        <f>ROUND(MAX(0,1000*NPV($AT$2,$AV64:$AV$79)-$AW$2*($AU64+NPV($AT$2,$AU65:$AU$79)))/AU64,3)</f>
        <v>535.32600000000002</v>
      </c>
    </row>
    <row r="64" spans="2:50" ht="16" x14ac:dyDescent="0.2">
      <c r="I64" s="32">
        <f t="shared" si="14"/>
        <v>60</v>
      </c>
      <c r="J64" s="20">
        <f t="shared" si="15"/>
        <v>369</v>
      </c>
      <c r="K64" s="20">
        <f t="shared" si="16"/>
        <v>18.45</v>
      </c>
      <c r="L64" s="21">
        <f t="shared" si="17"/>
        <v>25</v>
      </c>
      <c r="M64" s="20">
        <f t="shared" si="0"/>
        <v>50000</v>
      </c>
      <c r="N64" s="22">
        <f t="shared" si="4"/>
        <v>554.91700000000003</v>
      </c>
      <c r="O64" s="33">
        <f t="shared" si="5"/>
        <v>652.4</v>
      </c>
      <c r="P64" s="24">
        <f t="shared" si="6"/>
        <v>27745.85</v>
      </c>
      <c r="Q64" s="25">
        <f t="shared" si="7"/>
        <v>32620</v>
      </c>
      <c r="R64" s="33"/>
      <c r="S64" s="33">
        <v>35.027000000000001</v>
      </c>
      <c r="T64" s="34">
        <f t="shared" si="29"/>
        <v>0.04</v>
      </c>
      <c r="U64" s="35">
        <f t="shared" si="18"/>
        <v>5.3659013942280696E-2</v>
      </c>
      <c r="V64" s="35">
        <f t="shared" si="19"/>
        <v>1.8795142813562661E-3</v>
      </c>
      <c r="W64" s="35">
        <f t="shared" si="20"/>
        <v>2.1463605576912278E-3</v>
      </c>
      <c r="X64" s="27">
        <f t="shared" si="21"/>
        <v>4.9633139103233206E-2</v>
      </c>
      <c r="Y64" s="36"/>
      <c r="Z64" s="28">
        <f t="shared" si="32"/>
        <v>1703.9822319975801</v>
      </c>
      <c r="AA64" s="28">
        <f t="shared" si="32"/>
        <v>26.829506971140347</v>
      </c>
      <c r="AB64" s="28">
        <f t="shared" si="23"/>
        <v>1619.0329975474672</v>
      </c>
      <c r="AC64" s="28">
        <f t="shared" si="1"/>
        <v>24.816569551616602</v>
      </c>
      <c r="AD64" s="36"/>
      <c r="AE64" s="28">
        <f t="shared" si="2"/>
        <v>18.314628329093054</v>
      </c>
      <c r="AF64" s="28">
        <f t="shared" si="31"/>
        <v>-0.91573141645465261</v>
      </c>
      <c r="AG64" s="28">
        <f t="shared" si="31"/>
        <v>-1.2408284775808303</v>
      </c>
      <c r="AH64" s="28">
        <f t="shared" si="24"/>
        <v>-93.9757140678133</v>
      </c>
      <c r="AI64" s="28">
        <f t="shared" si="25"/>
        <v>-59.552598079617148</v>
      </c>
      <c r="AJ64" s="28">
        <f t="shared" si="8"/>
        <v>-137.37024371237288</v>
      </c>
      <c r="AK64" s="28">
        <f t="shared" si="9"/>
        <v>84.949234450112954</v>
      </c>
      <c r="AL64" s="28">
        <f t="shared" si="26"/>
        <v>96.151584973474726</v>
      </c>
      <c r="AM64" s="28">
        <f t="shared" si="10"/>
        <v>43.730575711214797</v>
      </c>
      <c r="AN64" s="28">
        <f t="shared" si="11"/>
        <v>2.0129374195237446</v>
      </c>
      <c r="AO64" s="28">
        <f t="shared" si="12"/>
        <v>45.743513130738542</v>
      </c>
      <c r="AT64" s="32">
        <f t="shared" si="27"/>
        <v>60</v>
      </c>
      <c r="AU64" s="30">
        <f t="shared" si="28"/>
        <v>0.66777551554940162</v>
      </c>
      <c r="AV64" s="30">
        <f t="shared" si="13"/>
        <v>2.3390172983148889E-2</v>
      </c>
      <c r="AW64" s="9">
        <f>ROUND((1000*NPV($AT$1,$AV65:$AV$79)-$AW$1*($AU65+NPV($AT$1,$AU66:$AU$79)))/AU65,3)</f>
        <v>652.4</v>
      </c>
      <c r="AX64" s="9">
        <f>ROUND(MAX(0,1000*NPV($AT$2,$AV65:$AV$79)-$AW$2*($AU65+NPV($AT$2,$AU66:$AU$79)))/AU65,3)</f>
        <v>554.91700000000003</v>
      </c>
    </row>
    <row r="65" spans="9:50" ht="16" x14ac:dyDescent="0.2">
      <c r="I65" s="32">
        <f t="shared" si="14"/>
        <v>61</v>
      </c>
      <c r="J65" s="20">
        <f t="shared" si="15"/>
        <v>369</v>
      </c>
      <c r="K65" s="20">
        <f t="shared" si="16"/>
        <v>18.45</v>
      </c>
      <c r="L65" s="21">
        <f t="shared" si="17"/>
        <v>25</v>
      </c>
      <c r="M65" s="20">
        <f t="shared" si="0"/>
        <v>50000</v>
      </c>
      <c r="N65" s="22">
        <f t="shared" si="4"/>
        <v>574.88599999999997</v>
      </c>
      <c r="O65" s="33">
        <f t="shared" si="5"/>
        <v>669.82500000000005</v>
      </c>
      <c r="P65" s="24">
        <f t="shared" si="6"/>
        <v>28744.3</v>
      </c>
      <c r="Q65" s="25">
        <f t="shared" si="7"/>
        <v>33491.250000000007</v>
      </c>
      <c r="R65" s="33"/>
      <c r="S65" s="33">
        <v>38.545000000000002</v>
      </c>
      <c r="T65" s="34">
        <f t="shared" si="29"/>
        <v>0.04</v>
      </c>
      <c r="U65" s="35">
        <f t="shared" si="18"/>
        <v>4.9633139103233206E-2</v>
      </c>
      <c r="V65" s="35">
        <f t="shared" si="19"/>
        <v>1.9131093467341241E-3</v>
      </c>
      <c r="W65" s="35">
        <f t="shared" si="20"/>
        <v>1.9853255641293283E-3</v>
      </c>
      <c r="X65" s="27">
        <f t="shared" si="21"/>
        <v>4.5734704192369753E-2</v>
      </c>
      <c r="Y65" s="36"/>
      <c r="Z65" s="28">
        <f t="shared" si="32"/>
        <v>1619.0329975474672</v>
      </c>
      <c r="AA65" s="28">
        <f t="shared" si="32"/>
        <v>24.816569551616602</v>
      </c>
      <c r="AB65" s="28">
        <f t="shared" si="23"/>
        <v>1531.7124117827038</v>
      </c>
      <c r="AC65" s="28">
        <f t="shared" si="1"/>
        <v>22.867352096184877</v>
      </c>
      <c r="AD65" s="36"/>
      <c r="AE65" s="28">
        <f t="shared" si="2"/>
        <v>16.876105846984437</v>
      </c>
      <c r="AF65" s="28">
        <f t="shared" si="31"/>
        <v>-0.84380529234922186</v>
      </c>
      <c r="AG65" s="28">
        <f t="shared" si="31"/>
        <v>-1.1433676048092438</v>
      </c>
      <c r="AH65" s="28">
        <f t="shared" si="24"/>
        <v>-95.655467336706209</v>
      </c>
      <c r="AI65" s="28">
        <f t="shared" si="25"/>
        <v>-57.066793613002652</v>
      </c>
      <c r="AJ65" s="28">
        <f t="shared" si="8"/>
        <v>-137.8333279998829</v>
      </c>
      <c r="AK65" s="28">
        <f t="shared" si="9"/>
        <v>87.320585764763337</v>
      </c>
      <c r="AL65" s="28">
        <f t="shared" si="26"/>
        <v>91.293502720954535</v>
      </c>
      <c r="AM65" s="28">
        <f t="shared" si="10"/>
        <v>40.780760485834975</v>
      </c>
      <c r="AN65" s="28">
        <f t="shared" si="11"/>
        <v>1.9492174554317252</v>
      </c>
      <c r="AO65" s="28">
        <f t="shared" si="12"/>
        <v>42.729977941266696</v>
      </c>
      <c r="AT65" s="32">
        <f t="shared" si="27"/>
        <v>61</v>
      </c>
      <c r="AU65" s="30">
        <f t="shared" si="28"/>
        <v>0.64438534256625268</v>
      </c>
      <c r="AV65" s="30">
        <f t="shared" si="13"/>
        <v>2.4837833029216209E-2</v>
      </c>
      <c r="AW65" s="9">
        <f>ROUND((1000*NPV($AT$1,$AV66:$AV$79)-$AW$1*($AU66+NPV($AT$1,$AU67:$AU$79)))/AU66,3)</f>
        <v>669.82500000000005</v>
      </c>
      <c r="AX65" s="9">
        <f>ROUND(MAX(0,1000*NPV($AT$2,$AV66:$AV$79)-$AW$2*($AU66+NPV($AT$2,$AU67:$AU$79)))/AU66,3)</f>
        <v>574.88599999999997</v>
      </c>
    </row>
    <row r="66" spans="9:50" ht="16" x14ac:dyDescent="0.2">
      <c r="I66" s="32">
        <f t="shared" si="14"/>
        <v>62</v>
      </c>
      <c r="J66" s="20">
        <f t="shared" si="15"/>
        <v>369</v>
      </c>
      <c r="K66" s="20">
        <f t="shared" si="16"/>
        <v>18.45</v>
      </c>
      <c r="L66" s="21">
        <f t="shared" si="17"/>
        <v>25</v>
      </c>
      <c r="M66" s="20">
        <f t="shared" si="0"/>
        <v>50000</v>
      </c>
      <c r="N66" s="22">
        <f t="shared" si="4"/>
        <v>595.23800000000006</v>
      </c>
      <c r="O66" s="33">
        <f t="shared" si="5"/>
        <v>687.38800000000003</v>
      </c>
      <c r="P66" s="24">
        <f t="shared" si="6"/>
        <v>29761.900000000005</v>
      </c>
      <c r="Q66" s="25">
        <f t="shared" si="7"/>
        <v>34369.4</v>
      </c>
      <c r="R66" s="33"/>
      <c r="S66" s="33">
        <v>42.500999999999998</v>
      </c>
      <c r="T66" s="34">
        <f t="shared" si="29"/>
        <v>0.04</v>
      </c>
      <c r="U66" s="35">
        <f t="shared" si="18"/>
        <v>4.5734704192369753E-2</v>
      </c>
      <c r="V66" s="35">
        <f t="shared" si="19"/>
        <v>1.9437706628799068E-3</v>
      </c>
      <c r="W66" s="35">
        <f t="shared" si="20"/>
        <v>1.8293881676947901E-3</v>
      </c>
      <c r="X66" s="27">
        <f t="shared" si="21"/>
        <v>4.1961545361795055E-2</v>
      </c>
      <c r="Y66" s="36"/>
      <c r="Z66" s="28">
        <f t="shared" si="32"/>
        <v>1531.7124117827038</v>
      </c>
      <c r="AA66" s="28">
        <f t="shared" si="32"/>
        <v>22.867352096184877</v>
      </c>
      <c r="AB66" s="28">
        <f t="shared" si="23"/>
        <v>1442.1931371576791</v>
      </c>
      <c r="AC66" s="28">
        <f t="shared" si="1"/>
        <v>20.980772680897527</v>
      </c>
      <c r="AD66" s="36"/>
      <c r="AE66" s="28">
        <f t="shared" si="2"/>
        <v>15.483810238502375</v>
      </c>
      <c r="AF66" s="28">
        <f t="shared" si="31"/>
        <v>-0.77419051192511879</v>
      </c>
      <c r="AG66" s="28">
        <f t="shared" si="31"/>
        <v>-1.0490386340448763</v>
      </c>
      <c r="AH66" s="28">
        <f t="shared" si="24"/>
        <v>-97.188533143995343</v>
      </c>
      <c r="AI66" s="28">
        <f t="shared" si="25"/>
        <v>-54.446067708115585</v>
      </c>
      <c r="AJ66" s="28">
        <f t="shared" si="8"/>
        <v>-137.97401975957854</v>
      </c>
      <c r="AK66" s="28">
        <f t="shared" si="9"/>
        <v>89.519274625024764</v>
      </c>
      <c r="AL66" s="28">
        <f t="shared" si="26"/>
        <v>86.310916098300638</v>
      </c>
      <c r="AM66" s="28">
        <f t="shared" si="10"/>
        <v>37.856170963746862</v>
      </c>
      <c r="AN66" s="28">
        <f t="shared" si="11"/>
        <v>1.8865794152873505</v>
      </c>
      <c r="AO66" s="28">
        <f t="shared" si="12"/>
        <v>39.742750379034213</v>
      </c>
      <c r="AT66" s="32">
        <f t="shared" si="27"/>
        <v>62</v>
      </c>
      <c r="AU66" s="30">
        <f t="shared" si="28"/>
        <v>0.61954750953703652</v>
      </c>
      <c r="AV66" s="30">
        <f t="shared" si="13"/>
        <v>2.6331388702833591E-2</v>
      </c>
      <c r="AW66" s="9">
        <f>ROUND((1000*NPV($AT$1,$AV67:$AV$79)-$AW$1*($AU67+NPV($AT$1,$AU68:$AU$79)))/AU67,3)</f>
        <v>687.38800000000003</v>
      </c>
      <c r="AX66" s="9">
        <f>ROUND(MAX(0,1000*NPV($AT$2,$AV67:$AV$79)-$AW$2*($AU67+NPV($AT$2,$AU68:$AU$79)))/AU67,3)</f>
        <v>595.23800000000006</v>
      </c>
    </row>
    <row r="67" spans="9:50" ht="16" x14ac:dyDescent="0.2">
      <c r="I67" s="32">
        <f t="shared" si="14"/>
        <v>63</v>
      </c>
      <c r="J67" s="20">
        <f t="shared" si="15"/>
        <v>369</v>
      </c>
      <c r="K67" s="20">
        <f t="shared" si="16"/>
        <v>18.45</v>
      </c>
      <c r="L67" s="21">
        <f t="shared" si="17"/>
        <v>25</v>
      </c>
      <c r="M67" s="20">
        <f t="shared" si="0"/>
        <v>50000</v>
      </c>
      <c r="N67" s="22">
        <f t="shared" si="4"/>
        <v>616.00699999999995</v>
      </c>
      <c r="O67" s="33">
        <f t="shared" si="5"/>
        <v>705.11199999999997</v>
      </c>
      <c r="P67" s="24">
        <f t="shared" si="6"/>
        <v>30800.349999999995</v>
      </c>
      <c r="Q67" s="25">
        <f t="shared" si="7"/>
        <v>35255.599999999999</v>
      </c>
      <c r="R67" s="33"/>
      <c r="S67" s="33">
        <v>46.891000000000005</v>
      </c>
      <c r="T67" s="34">
        <f t="shared" si="29"/>
        <v>0.04</v>
      </c>
      <c r="U67" s="35">
        <f t="shared" si="18"/>
        <v>4.1961545361795055E-2</v>
      </c>
      <c r="V67" s="35">
        <f t="shared" si="19"/>
        <v>1.967618823559932E-3</v>
      </c>
      <c r="W67" s="35">
        <f t="shared" si="20"/>
        <v>1.6784618144718023E-3</v>
      </c>
      <c r="X67" s="27">
        <f t="shared" si="21"/>
        <v>3.8315464723763321E-2</v>
      </c>
      <c r="Y67" s="36"/>
      <c r="Z67" s="28">
        <f t="shared" si="32"/>
        <v>1442.1931371576791</v>
      </c>
      <c r="AA67" s="28">
        <f t="shared" si="32"/>
        <v>20.980772680897527</v>
      </c>
      <c r="AB67" s="28">
        <f t="shared" si="23"/>
        <v>1350.8346981151101</v>
      </c>
      <c r="AC67" s="28">
        <f t="shared" si="1"/>
        <v>19.15773236188166</v>
      </c>
      <c r="AD67" s="36"/>
      <c r="AE67" s="28">
        <f t="shared" si="2"/>
        <v>14.138406483068666</v>
      </c>
      <c r="AF67" s="28">
        <f t="shared" si="31"/>
        <v>-0.7069203241534332</v>
      </c>
      <c r="AG67" s="28">
        <f t="shared" si="31"/>
        <v>-0.95788661809408304</v>
      </c>
      <c r="AH67" s="28">
        <f t="shared" si="24"/>
        <v>-98.380941177996604</v>
      </c>
      <c r="AI67" s="28">
        <f t="shared" si="25"/>
        <v>-51.697211347366569</v>
      </c>
      <c r="AJ67" s="28">
        <f t="shared" si="8"/>
        <v>-137.60455298454201</v>
      </c>
      <c r="AK67" s="28">
        <f t="shared" si="9"/>
        <v>91.358439042568989</v>
      </c>
      <c r="AL67" s="28">
        <f t="shared" si="26"/>
        <v>81.213296779862034</v>
      </c>
      <c r="AM67" s="28">
        <f t="shared" si="10"/>
        <v>34.967182837889013</v>
      </c>
      <c r="AN67" s="28">
        <f t="shared" si="11"/>
        <v>1.8230403190158668</v>
      </c>
      <c r="AO67" s="28">
        <f t="shared" si="12"/>
        <v>36.790223156904879</v>
      </c>
      <c r="AT67" s="32">
        <f t="shared" si="27"/>
        <v>63</v>
      </c>
      <c r="AU67" s="30">
        <f t="shared" si="28"/>
        <v>0.59321612083420294</v>
      </c>
      <c r="AV67" s="30">
        <f t="shared" si="13"/>
        <v>2.7816497122036613E-2</v>
      </c>
      <c r="AW67" s="9">
        <f>ROUND((1000*NPV($AT$1,$AV68:$AV$79)-$AW$1*($AU68+NPV($AT$1,$AU69:$AU$79)))/AU68,3)</f>
        <v>705.11199999999997</v>
      </c>
      <c r="AX67" s="9">
        <f>ROUND(MAX(0,1000*NPV($AT$2,$AV68:$AV$79)-$AW$2*($AU68+NPV($AT$2,$AU69:$AU$79)))/AU68,3)</f>
        <v>616.00699999999995</v>
      </c>
    </row>
    <row r="68" spans="9:50" ht="16" x14ac:dyDescent="0.2">
      <c r="I68" s="32">
        <f t="shared" si="14"/>
        <v>64</v>
      </c>
      <c r="J68" s="20">
        <f t="shared" si="15"/>
        <v>369</v>
      </c>
      <c r="K68" s="20">
        <f t="shared" si="16"/>
        <v>18.45</v>
      </c>
      <c r="L68" s="21">
        <f t="shared" si="17"/>
        <v>25</v>
      </c>
      <c r="M68" s="20">
        <f t="shared" ref="M68:M79" si="33">$E$11</f>
        <v>50000</v>
      </c>
      <c r="N68" s="22">
        <f t="shared" si="4"/>
        <v>637.26700000000005</v>
      </c>
      <c r="O68" s="33">
        <f t="shared" si="5"/>
        <v>723.048</v>
      </c>
      <c r="P68" s="24">
        <f t="shared" si="6"/>
        <v>31863.350000000002</v>
      </c>
      <c r="Q68" s="25">
        <f t="shared" si="7"/>
        <v>36152.400000000001</v>
      </c>
      <c r="R68" s="33"/>
      <c r="S68" s="33">
        <v>51.721000000000004</v>
      </c>
      <c r="T68" s="34">
        <f t="shared" si="29"/>
        <v>0.04</v>
      </c>
      <c r="U68" s="35">
        <f t="shared" si="18"/>
        <v>3.8315464723763321E-2</v>
      </c>
      <c r="V68" s="35">
        <f t="shared" si="19"/>
        <v>1.9817141509777631E-3</v>
      </c>
      <c r="W68" s="35">
        <f t="shared" si="20"/>
        <v>1.5326185889505328E-3</v>
      </c>
      <c r="X68" s="27">
        <f t="shared" si="21"/>
        <v>3.4801131983835026E-2</v>
      </c>
      <c r="Y68" s="36"/>
      <c r="Z68" s="28">
        <f t="shared" si="32"/>
        <v>1350.8346981151101</v>
      </c>
      <c r="AA68" s="28">
        <f t="shared" si="32"/>
        <v>19.15773236188166</v>
      </c>
      <c r="AB68" s="28">
        <f t="shared" si="23"/>
        <v>1258.1444439323975</v>
      </c>
      <c r="AC68" s="28">
        <f t="shared" ref="AC68:AC79" si="34">$H$14*M68*X68</f>
        <v>17.400565991917514</v>
      </c>
      <c r="AD68" s="36"/>
      <c r="AE68" s="28">
        <f t="shared" ref="AE68:AE79" si="35">$X68*J68</f>
        <v>12.841617702035125</v>
      </c>
      <c r="AF68" s="28">
        <f t="shared" si="31"/>
        <v>-0.6420808851017562</v>
      </c>
      <c r="AG68" s="28">
        <f t="shared" si="31"/>
        <v>-0.87002829959587569</v>
      </c>
      <c r="AH68" s="28">
        <f t="shared" si="24"/>
        <v>-99.085707548888152</v>
      </c>
      <c r="AI68" s="28">
        <f t="shared" si="25"/>
        <v>-48.834362516236965</v>
      </c>
      <c r="AJ68" s="28">
        <f t="shared" si="8"/>
        <v>-136.59056154778762</v>
      </c>
      <c r="AK68" s="28">
        <f t="shared" si="9"/>
        <v>92.690254182712579</v>
      </c>
      <c r="AL68" s="28">
        <f t="shared" si="26"/>
        <v>76.020558201165883</v>
      </c>
      <c r="AM68" s="28">
        <f t="shared" si="10"/>
        <v>32.120250836090847</v>
      </c>
      <c r="AN68" s="28">
        <f t="shared" si="11"/>
        <v>1.7571663699641462</v>
      </c>
      <c r="AO68" s="28">
        <f t="shared" si="12"/>
        <v>33.877417206054993</v>
      </c>
      <c r="AT68" s="32">
        <f t="shared" si="27"/>
        <v>64</v>
      </c>
      <c r="AU68" s="30">
        <f t="shared" si="28"/>
        <v>0.56539962371216634</v>
      </c>
      <c r="AV68" s="30">
        <f t="shared" si="13"/>
        <v>2.9243033938016957E-2</v>
      </c>
      <c r="AW68" s="9">
        <f>ROUND((1000*NPV($AT$1,$AV69:$AV$79)-$AW$1*($AU69+NPV($AT$1,$AU70:$AU$79)))/AU69,3)</f>
        <v>723.048</v>
      </c>
      <c r="AX68" s="9">
        <f>ROUND(MAX(0,1000*NPV($AT$2,$AV69:$AV$79)-$AW$2*($AU69+NPV($AT$2,$AU70:$AU$79)))/AU69,3)</f>
        <v>637.26700000000005</v>
      </c>
    </row>
    <row r="69" spans="9:50" ht="16" x14ac:dyDescent="0.2">
      <c r="I69" s="32">
        <f t="shared" si="14"/>
        <v>65</v>
      </c>
      <c r="J69" s="20">
        <f t="shared" si="15"/>
        <v>369</v>
      </c>
      <c r="K69" s="20">
        <f t="shared" si="16"/>
        <v>18.45</v>
      </c>
      <c r="L69" s="21">
        <f t="shared" si="17"/>
        <v>25</v>
      </c>
      <c r="M69" s="20">
        <f t="shared" si="33"/>
        <v>50000</v>
      </c>
      <c r="N69" s="22">
        <f t="shared" ref="N69:N79" si="36">AX69</f>
        <v>659.12</v>
      </c>
      <c r="O69" s="33">
        <f t="shared" ref="O69:O79" si="37">AW69</f>
        <v>741.26900000000001</v>
      </c>
      <c r="P69" s="24">
        <f t="shared" ref="P69:P79" si="38">M69*N69/1000</f>
        <v>32956</v>
      </c>
      <c r="Q69" s="25">
        <f t="shared" ref="Q69:Q79" si="39">M69*O69/1000</f>
        <v>37063.449999999997</v>
      </c>
      <c r="R69" s="33"/>
      <c r="S69" s="33">
        <v>57.037999999999997</v>
      </c>
      <c r="T69" s="34">
        <f t="shared" si="29"/>
        <v>0.04</v>
      </c>
      <c r="U69" s="35">
        <f t="shared" si="18"/>
        <v>3.4801131983835026E-2</v>
      </c>
      <c r="V69" s="35">
        <f t="shared" si="19"/>
        <v>1.9849869660939819E-3</v>
      </c>
      <c r="W69" s="35">
        <f t="shared" si="20"/>
        <v>1.392045279353401E-3</v>
      </c>
      <c r="X69" s="27">
        <f t="shared" si="21"/>
        <v>3.142409973838764E-2</v>
      </c>
      <c r="Y69" s="36"/>
      <c r="Z69" s="28">
        <f t="shared" si="32"/>
        <v>1258.1444439323975</v>
      </c>
      <c r="AA69" s="28">
        <f t="shared" si="32"/>
        <v>17.400565991917514</v>
      </c>
      <c r="AB69" s="28">
        <f t="shared" si="23"/>
        <v>1164.6855494487434</v>
      </c>
      <c r="AC69" s="28">
        <f t="shared" si="34"/>
        <v>15.71204986919382</v>
      </c>
      <c r="AD69" s="36"/>
      <c r="AE69" s="28">
        <f t="shared" si="35"/>
        <v>11.595492803465039</v>
      </c>
      <c r="AF69" s="28">
        <f t="shared" si="31"/>
        <v>-0.57977464017325198</v>
      </c>
      <c r="AG69" s="28">
        <f t="shared" si="31"/>
        <v>-0.78560249345969102</v>
      </c>
      <c r="AH69" s="28">
        <f t="shared" si="24"/>
        <v>-99.249348304699097</v>
      </c>
      <c r="AI69" s="28">
        <f t="shared" si="25"/>
        <v>-45.876244226370687</v>
      </c>
      <c r="AJ69" s="28">
        <f t="shared" ref="AJ69:AJ79" si="40">SUM(AE69:AI69)</f>
        <v>-134.89547686123768</v>
      </c>
      <c r="AK69" s="28">
        <f t="shared" ref="AK69:AK79" si="41">Z69-AB69</f>
        <v>93.458894483654149</v>
      </c>
      <c r="AL69" s="28">
        <f t="shared" si="26"/>
        <v>70.76084004481838</v>
      </c>
      <c r="AM69" s="28">
        <f t="shared" ref="AM69:AM79" si="42">SUM(AJ69:AL69)</f>
        <v>29.324257667234846</v>
      </c>
      <c r="AN69" s="28">
        <f t="shared" ref="AN69:AN79" si="43">AA69-AC69</f>
        <v>1.6885161227236942</v>
      </c>
      <c r="AO69" s="28">
        <f t="shared" ref="AO69:AO79" si="44">SUM(AM69:AN69)</f>
        <v>31.012773789958541</v>
      </c>
      <c r="AT69" s="32">
        <f t="shared" si="27"/>
        <v>65</v>
      </c>
      <c r="AU69" s="30">
        <f t="shared" si="28"/>
        <v>0.53615658977414937</v>
      </c>
      <c r="AV69" s="30">
        <f t="shared" ref="AV69:AV79" si="45">S69*AU69/1000</f>
        <v>3.0581299567537929E-2</v>
      </c>
      <c r="AW69" s="9">
        <f>ROUND((1000*NPV($AT$1,$AV70:$AV$79)-$AW$1*($AU70+NPV($AT$1,$AU71:$AU$79)))/AU70,3)</f>
        <v>741.26900000000001</v>
      </c>
      <c r="AX69" s="9">
        <f>ROUND(MAX(0,1000*NPV($AT$2,$AV70:$AV$79)-$AW$2*($AU70+NPV($AT$2,$AU71:$AU$79)))/AU70,3)</f>
        <v>659.12</v>
      </c>
    </row>
    <row r="70" spans="9:50" ht="16" x14ac:dyDescent="0.2">
      <c r="I70" s="32">
        <f t="shared" ref="I70:I79" si="46">I69+1</f>
        <v>66</v>
      </c>
      <c r="J70" s="20">
        <f t="shared" ref="J70:J79" si="47">$H$3</f>
        <v>369</v>
      </c>
      <c r="K70" s="20">
        <f t="shared" ref="K70:K79" si="48">J70*$C$17</f>
        <v>18.45</v>
      </c>
      <c r="L70" s="21">
        <f t="shared" ref="L70:L79" si="49">$C$21</f>
        <v>25</v>
      </c>
      <c r="M70" s="20">
        <f t="shared" si="33"/>
        <v>50000</v>
      </c>
      <c r="N70" s="22">
        <f t="shared" si="36"/>
        <v>681.70899999999995</v>
      </c>
      <c r="O70" s="33">
        <f t="shared" si="37"/>
        <v>759.87199999999996</v>
      </c>
      <c r="P70" s="24">
        <f t="shared" si="38"/>
        <v>34085.449999999997</v>
      </c>
      <c r="Q70" s="25">
        <f t="shared" si="39"/>
        <v>37993.599999999999</v>
      </c>
      <c r="R70" s="33"/>
      <c r="S70" s="33">
        <v>62.896999999999991</v>
      </c>
      <c r="T70" s="34">
        <f t="shared" si="29"/>
        <v>0.04</v>
      </c>
      <c r="U70" s="35">
        <f t="shared" ref="U70:U79" si="50">X69</f>
        <v>3.142409973838764E-2</v>
      </c>
      <c r="V70" s="35">
        <f t="shared" ref="V70:V79" si="51">S70*U70/1000</f>
        <v>1.9764816012453673E-3</v>
      </c>
      <c r="W70" s="35">
        <f t="shared" ref="W70:W79" si="52">MIN(T70*U70,U70-V70)</f>
        <v>1.2569639895355057E-3</v>
      </c>
      <c r="X70" s="27">
        <f t="shared" ref="X70:X79" si="53">U70-SUM(V70:W70)</f>
        <v>2.8190654147606766E-2</v>
      </c>
      <c r="Y70" s="36"/>
      <c r="Z70" s="28">
        <f t="shared" si="32"/>
        <v>1164.6855494487434</v>
      </c>
      <c r="AA70" s="28">
        <f t="shared" si="32"/>
        <v>15.71204986919382</v>
      </c>
      <c r="AB70" s="28">
        <f t="shared" ref="AB70:AB79" si="54">Q70*X70</f>
        <v>1071.0644374225124</v>
      </c>
      <c r="AC70" s="28">
        <f t="shared" si="34"/>
        <v>14.095327073803382</v>
      </c>
      <c r="AD70" s="36"/>
      <c r="AE70" s="28">
        <f t="shared" si="35"/>
        <v>10.402351380466897</v>
      </c>
      <c r="AF70" s="28">
        <f t="shared" si="31"/>
        <v>-0.52011756902334483</v>
      </c>
      <c r="AG70" s="28">
        <f t="shared" si="31"/>
        <v>-0.70476635369016916</v>
      </c>
      <c r="AH70" s="28">
        <f t="shared" ref="AH70:AH79" si="55">-M70*V70</f>
        <v>-98.824080062268365</v>
      </c>
      <c r="AI70" s="28">
        <f t="shared" ref="AI70:AI79" si="56">-P70*W70</f>
        <v>-42.844183217112999</v>
      </c>
      <c r="AJ70" s="28">
        <f t="shared" si="40"/>
        <v>-132.49079582162798</v>
      </c>
      <c r="AK70" s="28">
        <f t="shared" si="41"/>
        <v>93.621112026231003</v>
      </c>
      <c r="AL70" s="28">
        <f t="shared" ref="AL70:AL79" si="57">$D$6*SUM(Z70:AA70,AE70:AF70)</f>
        <v>65.465390822115936</v>
      </c>
      <c r="AM70" s="28">
        <f t="shared" si="42"/>
        <v>26.595707026718955</v>
      </c>
      <c r="AN70" s="28">
        <f t="shared" si="43"/>
        <v>1.6167227953904373</v>
      </c>
      <c r="AO70" s="28">
        <f t="shared" si="44"/>
        <v>28.212429822109392</v>
      </c>
      <c r="AT70" s="32">
        <f t="shared" ref="AT70:AT79" si="58">AT69+1</f>
        <v>66</v>
      </c>
      <c r="AU70" s="30">
        <f t="shared" si="28"/>
        <v>0.50557529020661141</v>
      </c>
      <c r="AV70" s="30">
        <f t="shared" si="45"/>
        <v>3.1799169028125233E-2</v>
      </c>
      <c r="AW70" s="9">
        <f>ROUND((1000*NPV($AT$1,$AV71:$AV$79)-$AW$1*($AU71+NPV($AT$1,$AU72:$AU$79)))/AU71,3)</f>
        <v>759.87199999999996</v>
      </c>
      <c r="AX70" s="9">
        <f>ROUND(MAX(0,1000*NPV($AT$2,$AV71:$AV$79)-$AW$2*($AU71+NPV($AT$2,$AU72:$AU$79)))/AU71,3)</f>
        <v>681.70899999999995</v>
      </c>
    </row>
    <row r="71" spans="9:50" ht="16" x14ac:dyDescent="0.2">
      <c r="I71" s="32">
        <f t="shared" si="46"/>
        <v>67</v>
      </c>
      <c r="J71" s="20">
        <f t="shared" si="47"/>
        <v>369</v>
      </c>
      <c r="K71" s="20">
        <f t="shared" si="48"/>
        <v>18.45</v>
      </c>
      <c r="L71" s="21">
        <f t="shared" si="49"/>
        <v>25</v>
      </c>
      <c r="M71" s="20">
        <f t="shared" si="33"/>
        <v>50000</v>
      </c>
      <c r="N71" s="22">
        <f t="shared" si="36"/>
        <v>705.22900000000004</v>
      </c>
      <c r="O71" s="33">
        <f t="shared" si="37"/>
        <v>778.99599999999998</v>
      </c>
      <c r="P71" s="24">
        <f t="shared" si="38"/>
        <v>35261.449999999997</v>
      </c>
      <c r="Q71" s="25">
        <f t="shared" si="39"/>
        <v>38949.800000000003</v>
      </c>
      <c r="R71" s="33"/>
      <c r="S71" s="33">
        <v>69.352000000000004</v>
      </c>
      <c r="T71" s="34">
        <f t="shared" si="29"/>
        <v>0.04</v>
      </c>
      <c r="U71" s="35">
        <f t="shared" si="50"/>
        <v>2.8190654147606766E-2</v>
      </c>
      <c r="V71" s="35">
        <f t="shared" si="51"/>
        <v>1.9550782464448245E-3</v>
      </c>
      <c r="W71" s="35">
        <f t="shared" si="52"/>
        <v>1.1276261659042706E-3</v>
      </c>
      <c r="X71" s="27">
        <f t="shared" si="53"/>
        <v>2.5107949735257672E-2</v>
      </c>
      <c r="Y71" s="36"/>
      <c r="Z71" s="28">
        <f t="shared" si="32"/>
        <v>1071.0644374225124</v>
      </c>
      <c r="AA71" s="28">
        <f t="shared" si="32"/>
        <v>14.095327073803382</v>
      </c>
      <c r="AB71" s="28">
        <f t="shared" si="54"/>
        <v>977.94962059833938</v>
      </c>
      <c r="AC71" s="28">
        <f t="shared" si="34"/>
        <v>12.553974867628837</v>
      </c>
      <c r="AD71" s="36"/>
      <c r="AE71" s="28">
        <f t="shared" si="35"/>
        <v>9.2648334523100804</v>
      </c>
      <c r="AF71" s="28">
        <f t="shared" si="31"/>
        <v>-0.46324167261550403</v>
      </c>
      <c r="AG71" s="28">
        <f t="shared" si="31"/>
        <v>-0.62769874338144183</v>
      </c>
      <c r="AH71" s="28">
        <f t="shared" si="55"/>
        <v>-97.75391232224122</v>
      </c>
      <c r="AI71" s="28">
        <f t="shared" si="56"/>
        <v>-39.761733667725139</v>
      </c>
      <c r="AJ71" s="28">
        <f t="shared" si="40"/>
        <v>-129.34175295365321</v>
      </c>
      <c r="AK71" s="28">
        <f t="shared" si="41"/>
        <v>93.114816824172976</v>
      </c>
      <c r="AL71" s="28">
        <f t="shared" si="57"/>
        <v>60.167874595180564</v>
      </c>
      <c r="AM71" s="28">
        <f t="shared" si="42"/>
        <v>23.940938465700327</v>
      </c>
      <c r="AN71" s="28">
        <f t="shared" si="43"/>
        <v>1.5413522061745457</v>
      </c>
      <c r="AO71" s="28">
        <f t="shared" si="44"/>
        <v>25.482290671874871</v>
      </c>
      <c r="AT71" s="32">
        <f t="shared" si="58"/>
        <v>67</v>
      </c>
      <c r="AU71" s="30">
        <f t="shared" ref="AU71:AU77" si="59">AU70-AV70</f>
        <v>0.47377612117848616</v>
      </c>
      <c r="AV71" s="30">
        <f t="shared" si="45"/>
        <v>3.2857321555970376E-2</v>
      </c>
      <c r="AW71" s="9">
        <f>ROUND((1000*NPV($AT$1,$AV72:$AV$79)-$AW$1*($AU72+NPV($AT$1,$AU73:$AU$79)))/AU72,3)</f>
        <v>778.99599999999998</v>
      </c>
      <c r="AX71" s="9">
        <f>ROUND(MAX(0,1000*NPV($AT$2,$AV72:$AV$79)-$AW$2*($AU72+NPV($AT$2,$AU73:$AU$79)))/AU72,3)</f>
        <v>705.22900000000004</v>
      </c>
    </row>
    <row r="72" spans="9:50" ht="16" x14ac:dyDescent="0.2">
      <c r="I72" s="32">
        <f t="shared" si="46"/>
        <v>68</v>
      </c>
      <c r="J72" s="20">
        <f t="shared" si="47"/>
        <v>369</v>
      </c>
      <c r="K72" s="20">
        <f t="shared" si="48"/>
        <v>18.45</v>
      </c>
      <c r="L72" s="21">
        <f t="shared" si="49"/>
        <v>25</v>
      </c>
      <c r="M72" s="20">
        <f t="shared" si="33"/>
        <v>50000</v>
      </c>
      <c r="N72" s="22">
        <f t="shared" si="36"/>
        <v>729.95600000000002</v>
      </c>
      <c r="O72" s="33">
        <f t="shared" si="37"/>
        <v>798.83100000000002</v>
      </c>
      <c r="P72" s="24">
        <f t="shared" si="38"/>
        <v>36497.800000000003</v>
      </c>
      <c r="Q72" s="25">
        <f t="shared" si="39"/>
        <v>39941.550000000003</v>
      </c>
      <c r="R72" s="33"/>
      <c r="S72" s="33">
        <v>76.459999999999994</v>
      </c>
      <c r="T72" s="34">
        <f t="shared" si="29"/>
        <v>0.04</v>
      </c>
      <c r="U72" s="35">
        <f t="shared" si="50"/>
        <v>2.5107949735257672E-2</v>
      </c>
      <c r="V72" s="35">
        <f t="shared" si="51"/>
        <v>1.9197538367578012E-3</v>
      </c>
      <c r="W72" s="35">
        <f t="shared" si="52"/>
        <v>1.004317989410307E-3</v>
      </c>
      <c r="X72" s="27">
        <f t="shared" si="53"/>
        <v>2.2183877909089565E-2</v>
      </c>
      <c r="Y72" s="36"/>
      <c r="Z72" s="28">
        <f t="shared" si="32"/>
        <v>977.94962059833938</v>
      </c>
      <c r="AA72" s="28">
        <f t="shared" si="32"/>
        <v>12.553974867628837</v>
      </c>
      <c r="AB72" s="28">
        <f t="shared" si="54"/>
        <v>886.05846869979644</v>
      </c>
      <c r="AC72" s="28">
        <f t="shared" si="34"/>
        <v>11.091938954544782</v>
      </c>
      <c r="AD72" s="36"/>
      <c r="AE72" s="28">
        <f t="shared" si="35"/>
        <v>8.1858509484540498</v>
      </c>
      <c r="AF72" s="28">
        <f t="shared" si="31"/>
        <v>-0.40929254742270244</v>
      </c>
      <c r="AG72" s="28">
        <f t="shared" si="31"/>
        <v>-0.55459694772723911</v>
      </c>
      <c r="AH72" s="28">
        <f t="shared" si="55"/>
        <v>-95.987691837890068</v>
      </c>
      <c r="AI72" s="28">
        <f t="shared" si="56"/>
        <v>-36.655397113899504</v>
      </c>
      <c r="AJ72" s="28">
        <f t="shared" si="40"/>
        <v>-125.42112749848548</v>
      </c>
      <c r="AK72" s="28">
        <f t="shared" si="41"/>
        <v>91.891151898542944</v>
      </c>
      <c r="AL72" s="28">
        <f t="shared" si="57"/>
        <v>54.905408462684974</v>
      </c>
      <c r="AM72" s="28">
        <f t="shared" si="42"/>
        <v>21.375432862742443</v>
      </c>
      <c r="AN72" s="28">
        <f t="shared" si="43"/>
        <v>1.4620359130840548</v>
      </c>
      <c r="AO72" s="28">
        <f t="shared" si="44"/>
        <v>22.837468775826498</v>
      </c>
      <c r="AT72" s="32">
        <f t="shared" si="58"/>
        <v>68</v>
      </c>
      <c r="AU72" s="30">
        <f t="shared" si="59"/>
        <v>0.44091879962251579</v>
      </c>
      <c r="AV72" s="30">
        <f t="shared" si="45"/>
        <v>3.3712651419137554E-2</v>
      </c>
      <c r="AW72" s="9">
        <f>ROUND((1000*NPV($AT$1,$AV73:$AV$79)-$AW$1*($AU73+NPV($AT$1,$AU74:$AU$79)))/AU73,3)</f>
        <v>798.83100000000002</v>
      </c>
      <c r="AX72" s="9">
        <f>ROUND(MAX(0,1000*NPV($AT$2,$AV73:$AV$79)-$AW$2*($AU73+NPV($AT$2,$AU74:$AU$79)))/AU73,3)</f>
        <v>729.95600000000002</v>
      </c>
    </row>
    <row r="73" spans="9:50" ht="16" x14ac:dyDescent="0.2">
      <c r="I73" s="32">
        <f t="shared" si="46"/>
        <v>69</v>
      </c>
      <c r="J73" s="20">
        <f t="shared" si="47"/>
        <v>369</v>
      </c>
      <c r="K73" s="20">
        <f t="shared" si="48"/>
        <v>18.45</v>
      </c>
      <c r="L73" s="21">
        <f t="shared" si="49"/>
        <v>25</v>
      </c>
      <c r="M73" s="20">
        <f t="shared" si="33"/>
        <v>50000</v>
      </c>
      <c r="N73" s="22">
        <f t="shared" si="36"/>
        <v>756.27300000000002</v>
      </c>
      <c r="O73" s="33">
        <f t="shared" si="37"/>
        <v>819.64</v>
      </c>
      <c r="P73" s="24">
        <f t="shared" si="38"/>
        <v>37813.65</v>
      </c>
      <c r="Q73" s="25">
        <f t="shared" si="39"/>
        <v>40982</v>
      </c>
      <c r="R73" s="33"/>
      <c r="S73" s="33">
        <v>84.279000000000011</v>
      </c>
      <c r="T73" s="34">
        <f t="shared" si="29"/>
        <v>0.04</v>
      </c>
      <c r="U73" s="35">
        <f t="shared" si="50"/>
        <v>2.2183877909089565E-2</v>
      </c>
      <c r="V73" s="35">
        <f t="shared" si="51"/>
        <v>1.8696350463001596E-3</v>
      </c>
      <c r="W73" s="35">
        <f t="shared" si="52"/>
        <v>8.8735511636358266E-4</v>
      </c>
      <c r="X73" s="27">
        <f t="shared" si="53"/>
        <v>1.9426887746425824E-2</v>
      </c>
      <c r="Y73" s="36"/>
      <c r="Z73" s="28">
        <f t="shared" si="32"/>
        <v>886.05846869979644</v>
      </c>
      <c r="AA73" s="28">
        <f t="shared" si="32"/>
        <v>11.091938954544782</v>
      </c>
      <c r="AB73" s="28">
        <f t="shared" si="54"/>
        <v>796.15271362402314</v>
      </c>
      <c r="AC73" s="28">
        <f t="shared" si="34"/>
        <v>9.7134438732129116</v>
      </c>
      <c r="AD73" s="36"/>
      <c r="AE73" s="28">
        <f t="shared" si="35"/>
        <v>7.1685215784311289</v>
      </c>
      <c r="AF73" s="28">
        <f t="shared" si="31"/>
        <v>-0.35842607892155642</v>
      </c>
      <c r="AG73" s="28">
        <f t="shared" si="31"/>
        <v>-0.48567219366064562</v>
      </c>
      <c r="AH73" s="28">
        <f t="shared" si="55"/>
        <v>-93.481752315007981</v>
      </c>
      <c r="AI73" s="28">
        <f t="shared" si="56"/>
        <v>-33.554135795881791</v>
      </c>
      <c r="AJ73" s="28">
        <f t="shared" si="40"/>
        <v>-120.71146480504085</v>
      </c>
      <c r="AK73" s="28">
        <f t="shared" si="41"/>
        <v>89.9057550757733</v>
      </c>
      <c r="AL73" s="28">
        <f t="shared" si="57"/>
        <v>49.717827673461798</v>
      </c>
      <c r="AM73" s="28">
        <f t="shared" si="42"/>
        <v>18.91211794419425</v>
      </c>
      <c r="AN73" s="28">
        <f t="shared" si="43"/>
        <v>1.3784950813318702</v>
      </c>
      <c r="AO73" s="28">
        <f t="shared" si="44"/>
        <v>20.29061302552612</v>
      </c>
      <c r="AT73" s="32">
        <f t="shared" si="58"/>
        <v>69</v>
      </c>
      <c r="AU73" s="30">
        <f t="shared" si="59"/>
        <v>0.40720614820337825</v>
      </c>
      <c r="AV73" s="30">
        <f t="shared" si="45"/>
        <v>3.431892696443252E-2</v>
      </c>
      <c r="AW73" s="9">
        <f>ROUND((1000*NPV($AT$1,$AV74:$AV$79)-$AW$1*($AU74+NPV($AT$1,$AU75:$AU$79)))/AU74,3)</f>
        <v>819.64</v>
      </c>
      <c r="AX73" s="9">
        <f>ROUND(MAX(0,1000*NPV($AT$2,$AV74:$AV$79)-$AW$2*($AU74+NPV($AT$2,$AU75:$AU$79)))/AU74,3)</f>
        <v>756.27300000000002</v>
      </c>
    </row>
    <row r="74" spans="9:50" ht="16" x14ac:dyDescent="0.2">
      <c r="I74" s="32">
        <f t="shared" si="46"/>
        <v>70</v>
      </c>
      <c r="J74" s="20">
        <f t="shared" si="47"/>
        <v>369</v>
      </c>
      <c r="K74" s="20">
        <f t="shared" si="48"/>
        <v>18.45</v>
      </c>
      <c r="L74" s="21">
        <f t="shared" si="49"/>
        <v>25</v>
      </c>
      <c r="M74" s="20">
        <f t="shared" si="33"/>
        <v>50000</v>
      </c>
      <c r="N74" s="22">
        <f t="shared" si="36"/>
        <v>784.71500000000003</v>
      </c>
      <c r="O74" s="33">
        <f t="shared" si="37"/>
        <v>841.78700000000003</v>
      </c>
      <c r="P74" s="24">
        <f t="shared" si="38"/>
        <v>39235.75</v>
      </c>
      <c r="Q74" s="25">
        <f t="shared" si="39"/>
        <v>42089.35</v>
      </c>
      <c r="R74" s="33"/>
      <c r="S74" s="33">
        <v>92.876000000000005</v>
      </c>
      <c r="T74" s="34">
        <f t="shared" si="29"/>
        <v>0.04</v>
      </c>
      <c r="U74" s="35">
        <f t="shared" si="50"/>
        <v>1.9426887746425824E-2</v>
      </c>
      <c r="V74" s="35">
        <f t="shared" si="51"/>
        <v>1.8042916263370449E-3</v>
      </c>
      <c r="W74" s="35">
        <f t="shared" si="52"/>
        <v>7.7707550985703301E-4</v>
      </c>
      <c r="X74" s="27">
        <f t="shared" si="53"/>
        <v>1.6845520610231746E-2</v>
      </c>
      <c r="Y74" s="36"/>
      <c r="Z74" s="28">
        <f t="shared" si="32"/>
        <v>796.15271362402314</v>
      </c>
      <c r="AA74" s="28">
        <f t="shared" si="32"/>
        <v>9.7134438732129116</v>
      </c>
      <c r="AB74" s="28">
        <f t="shared" si="54"/>
        <v>709.01701289625748</v>
      </c>
      <c r="AC74" s="28">
        <f t="shared" si="34"/>
        <v>8.4227603051158724</v>
      </c>
      <c r="AD74" s="36"/>
      <c r="AE74" s="28">
        <f t="shared" si="35"/>
        <v>6.2159971051755143</v>
      </c>
      <c r="AF74" s="28">
        <f t="shared" si="31"/>
        <v>-0.31079985525877568</v>
      </c>
      <c r="AG74" s="28">
        <f t="shared" si="31"/>
        <v>-0.42113801525579364</v>
      </c>
      <c r="AH74" s="28">
        <f t="shared" si="55"/>
        <v>-90.214581316852247</v>
      </c>
      <c r="AI74" s="28">
        <f t="shared" si="56"/>
        <v>-30.489140435873082</v>
      </c>
      <c r="AJ74" s="28">
        <f t="shared" si="40"/>
        <v>-115.21966251806438</v>
      </c>
      <c r="AK74" s="28">
        <f t="shared" si="41"/>
        <v>87.135700727765652</v>
      </c>
      <c r="AL74" s="28">
        <f t="shared" si="57"/>
        <v>44.647424511093398</v>
      </c>
      <c r="AM74" s="28">
        <f t="shared" si="42"/>
        <v>16.563462720794668</v>
      </c>
      <c r="AN74" s="28">
        <f t="shared" si="43"/>
        <v>1.2906835680970392</v>
      </c>
      <c r="AO74" s="28">
        <f t="shared" si="44"/>
        <v>17.854146288891705</v>
      </c>
      <c r="AT74" s="32">
        <f t="shared" si="58"/>
        <v>70</v>
      </c>
      <c r="AU74" s="30">
        <f t="shared" si="59"/>
        <v>0.37288722123894574</v>
      </c>
      <c r="AV74" s="30">
        <f t="shared" si="45"/>
        <v>3.4632273559788325E-2</v>
      </c>
      <c r="AW74" s="9">
        <f>ROUND((1000*NPV($AT$1,$AV75:$AV$79)-$AW$1*($AU75+NPV($AT$1,$AU76:$AU$79)))/AU75,3)</f>
        <v>841.78700000000003</v>
      </c>
      <c r="AX74" s="9">
        <f>ROUND(MAX(0,1000*NPV($AT$2,$AV75:$AV$79)-$AW$2*($AU75+NPV($AT$2,$AU76:$AU$79)))/AU75,3)</f>
        <v>784.71500000000003</v>
      </c>
    </row>
    <row r="75" spans="9:50" ht="16" x14ac:dyDescent="0.2">
      <c r="I75" s="32">
        <f t="shared" si="46"/>
        <v>71</v>
      </c>
      <c r="J75" s="20">
        <f t="shared" si="47"/>
        <v>369</v>
      </c>
      <c r="K75" s="20">
        <f t="shared" si="48"/>
        <v>18.45</v>
      </c>
      <c r="L75" s="21">
        <f t="shared" si="49"/>
        <v>25</v>
      </c>
      <c r="M75" s="20">
        <f t="shared" si="33"/>
        <v>50000</v>
      </c>
      <c r="N75" s="22">
        <f t="shared" si="36"/>
        <v>816.03399999999999</v>
      </c>
      <c r="O75" s="33">
        <f t="shared" si="37"/>
        <v>865.78099999999995</v>
      </c>
      <c r="P75" s="24">
        <f t="shared" si="38"/>
        <v>40801.699999999997</v>
      </c>
      <c r="Q75" s="25">
        <f t="shared" si="39"/>
        <v>43289.05</v>
      </c>
      <c r="R75" s="33"/>
      <c r="S75" s="33">
        <v>102.325</v>
      </c>
      <c r="T75" s="34">
        <f t="shared" si="29"/>
        <v>0.04</v>
      </c>
      <c r="U75" s="35">
        <f t="shared" si="50"/>
        <v>1.6845520610231746E-2</v>
      </c>
      <c r="V75" s="35">
        <f t="shared" si="51"/>
        <v>1.7237178964419635E-3</v>
      </c>
      <c r="W75" s="35">
        <f t="shared" si="52"/>
        <v>6.738208244092699E-4</v>
      </c>
      <c r="X75" s="27">
        <f t="shared" si="53"/>
        <v>1.4447981889380512E-2</v>
      </c>
      <c r="Y75" s="36"/>
      <c r="Z75" s="28">
        <f t="shared" si="32"/>
        <v>709.01701289625748</v>
      </c>
      <c r="AA75" s="28">
        <f t="shared" si="32"/>
        <v>8.4227603051158724</v>
      </c>
      <c r="AB75" s="28">
        <f t="shared" si="54"/>
        <v>625.43941040848756</v>
      </c>
      <c r="AC75" s="28">
        <f t="shared" si="34"/>
        <v>7.2239909446902564</v>
      </c>
      <c r="AD75" s="36"/>
      <c r="AE75" s="28">
        <f t="shared" si="35"/>
        <v>5.3313053171814087</v>
      </c>
      <c r="AF75" s="28">
        <f t="shared" si="31"/>
        <v>-0.26656526585907042</v>
      </c>
      <c r="AG75" s="28">
        <f t="shared" si="31"/>
        <v>-0.36119954723451281</v>
      </c>
      <c r="AH75" s="28">
        <f t="shared" si="55"/>
        <v>-86.185894822098177</v>
      </c>
      <c r="AI75" s="28">
        <f t="shared" si="56"/>
        <v>-27.493035131299706</v>
      </c>
      <c r="AJ75" s="28">
        <f t="shared" si="40"/>
        <v>-108.97538944931006</v>
      </c>
      <c r="AK75" s="28">
        <f t="shared" si="41"/>
        <v>83.577602487769923</v>
      </c>
      <c r="AL75" s="28">
        <f t="shared" si="57"/>
        <v>39.737748228898262</v>
      </c>
      <c r="AM75" s="28">
        <f t="shared" si="42"/>
        <v>14.339961267358127</v>
      </c>
      <c r="AN75" s="28">
        <f t="shared" si="43"/>
        <v>1.198769360425616</v>
      </c>
      <c r="AO75" s="28">
        <f t="shared" si="44"/>
        <v>15.538730627783742</v>
      </c>
      <c r="AT75" s="32">
        <f t="shared" si="58"/>
        <v>71</v>
      </c>
      <c r="AU75" s="30">
        <f t="shared" si="59"/>
        <v>0.33825494767915743</v>
      </c>
      <c r="AV75" s="30">
        <f t="shared" si="45"/>
        <v>3.4611937521269787E-2</v>
      </c>
      <c r="AW75" s="9">
        <f>ROUND((1000*NPV($AT$1,$AV76:$AV$79)-$AW$1*($AU76+NPV($AT$1,$AU77:$AU$79)))/AU76,3)</f>
        <v>865.78099999999995</v>
      </c>
      <c r="AX75" s="9">
        <f>ROUND(MAX(0,1000*NPV($AT$2,$AV76:$AV$79)-$AW$2*($AU76+NPV($AT$2,$AU77:$AU$79)))/AU76,3)</f>
        <v>816.03399999999999</v>
      </c>
    </row>
    <row r="76" spans="9:50" ht="16" x14ac:dyDescent="0.2">
      <c r="I76" s="32">
        <f t="shared" si="46"/>
        <v>72</v>
      </c>
      <c r="J76" s="20">
        <f t="shared" si="47"/>
        <v>369</v>
      </c>
      <c r="K76" s="20">
        <f t="shared" si="48"/>
        <v>18.45</v>
      </c>
      <c r="L76" s="21">
        <f t="shared" si="49"/>
        <v>25</v>
      </c>
      <c r="M76" s="20">
        <f t="shared" si="33"/>
        <v>50000</v>
      </c>
      <c r="N76" s="22">
        <f t="shared" si="36"/>
        <v>851.29899999999998</v>
      </c>
      <c r="O76" s="33">
        <f t="shared" si="37"/>
        <v>892.33500000000004</v>
      </c>
      <c r="P76" s="24">
        <f t="shared" si="38"/>
        <v>42564.95</v>
      </c>
      <c r="Q76" s="25">
        <f t="shared" si="39"/>
        <v>44616.75</v>
      </c>
      <c r="R76" s="33"/>
      <c r="S76" s="33">
        <v>112.694</v>
      </c>
      <c r="T76" s="34">
        <f t="shared" si="29"/>
        <v>0.04</v>
      </c>
      <c r="U76" s="35">
        <f t="shared" si="50"/>
        <v>1.4447981889380512E-2</v>
      </c>
      <c r="V76" s="35">
        <f t="shared" si="51"/>
        <v>1.6282008710418474E-3</v>
      </c>
      <c r="W76" s="35">
        <f t="shared" si="52"/>
        <v>5.779192755752205E-4</v>
      </c>
      <c r="X76" s="27">
        <f t="shared" si="53"/>
        <v>1.2241861742763444E-2</v>
      </c>
      <c r="Y76" s="36"/>
      <c r="Z76" s="28">
        <f t="shared" si="32"/>
        <v>625.43941040848756</v>
      </c>
      <c r="AA76" s="28">
        <f t="shared" si="32"/>
        <v>7.2239909446902564</v>
      </c>
      <c r="AB76" s="28">
        <f t="shared" si="54"/>
        <v>546.19208491144093</v>
      </c>
      <c r="AC76" s="28">
        <f t="shared" si="34"/>
        <v>6.1209308713817219</v>
      </c>
      <c r="AD76" s="36"/>
      <c r="AE76" s="28">
        <f t="shared" si="35"/>
        <v>4.5172469830797111</v>
      </c>
      <c r="AF76" s="28">
        <f t="shared" si="31"/>
        <v>-0.22586234915398554</v>
      </c>
      <c r="AG76" s="28">
        <f t="shared" si="31"/>
        <v>-0.30604654356908612</v>
      </c>
      <c r="AH76" s="28">
        <f t="shared" si="55"/>
        <v>-81.410043552092375</v>
      </c>
      <c r="AI76" s="28">
        <f t="shared" si="56"/>
        <v>-24.599105068895479</v>
      </c>
      <c r="AJ76" s="28">
        <f t="shared" si="40"/>
        <v>-102.02381053063122</v>
      </c>
      <c r="AK76" s="28">
        <f t="shared" si="41"/>
        <v>79.247325497046631</v>
      </c>
      <c r="AL76" s="28">
        <f t="shared" si="57"/>
        <v>35.0325132292907</v>
      </c>
      <c r="AM76" s="28">
        <f t="shared" si="42"/>
        <v>12.256028195706108</v>
      </c>
      <c r="AN76" s="28">
        <f t="shared" si="43"/>
        <v>1.1030600733085345</v>
      </c>
      <c r="AO76" s="28">
        <f t="shared" si="44"/>
        <v>13.359088269014642</v>
      </c>
      <c r="AT76" s="32">
        <f t="shared" si="58"/>
        <v>72</v>
      </c>
      <c r="AU76" s="30">
        <f t="shared" si="59"/>
        <v>0.30364301015788764</v>
      </c>
      <c r="AV76" s="30">
        <f t="shared" si="45"/>
        <v>3.4218745386732988E-2</v>
      </c>
      <c r="AW76" s="9">
        <f>ROUND((1000*NPV($AT$1,$AV77:$AV$79)-$AW$1*($AU77+NPV($AT$1,$AU78:$AU$79)))/AU77,3)</f>
        <v>892.33500000000004</v>
      </c>
      <c r="AX76" s="9">
        <f>ROUND(MAX(0,1000*NPV($AT$2,$AV77:$AV$79)-$AW$2*($AU77+NPV($AT$2,$AU78:$AU$79)))/AU77,3)</f>
        <v>851.29899999999998</v>
      </c>
    </row>
    <row r="77" spans="9:50" ht="16" x14ac:dyDescent="0.2">
      <c r="I77" s="32">
        <f t="shared" si="46"/>
        <v>73</v>
      </c>
      <c r="J77" s="20">
        <f t="shared" si="47"/>
        <v>369</v>
      </c>
      <c r="K77" s="20">
        <f t="shared" si="48"/>
        <v>18.45</v>
      </c>
      <c r="L77" s="21">
        <f t="shared" si="49"/>
        <v>25</v>
      </c>
      <c r="M77" s="20">
        <f t="shared" si="33"/>
        <v>50000</v>
      </c>
      <c r="N77" s="22">
        <f t="shared" si="36"/>
        <v>892.04499999999996</v>
      </c>
      <c r="O77" s="33">
        <f t="shared" si="37"/>
        <v>922.46500000000003</v>
      </c>
      <c r="P77" s="24">
        <f t="shared" si="38"/>
        <v>44602.25</v>
      </c>
      <c r="Q77" s="25">
        <f t="shared" si="39"/>
        <v>46123.25</v>
      </c>
      <c r="R77" s="33"/>
      <c r="S77" s="33">
        <v>124.056</v>
      </c>
      <c r="T77" s="34">
        <f t="shared" si="29"/>
        <v>0.04</v>
      </c>
      <c r="U77" s="35">
        <f t="shared" si="50"/>
        <v>1.2241861742763444E-2</v>
      </c>
      <c r="V77" s="35">
        <f t="shared" si="51"/>
        <v>1.5186764003602617E-3</v>
      </c>
      <c r="W77" s="35">
        <f t="shared" si="52"/>
        <v>4.8967446971053777E-4</v>
      </c>
      <c r="X77" s="27">
        <f t="shared" si="53"/>
        <v>1.0233510872692645E-2</v>
      </c>
      <c r="Y77" s="36"/>
      <c r="Z77" s="28">
        <f t="shared" si="32"/>
        <v>546.19208491144093</v>
      </c>
      <c r="AA77" s="28">
        <f t="shared" si="32"/>
        <v>6.1209308713817219</v>
      </c>
      <c r="AB77" s="28">
        <f t="shared" si="54"/>
        <v>472.00278035892103</v>
      </c>
      <c r="AC77" s="28">
        <f t="shared" si="34"/>
        <v>5.1167554363463221</v>
      </c>
      <c r="AD77" s="36"/>
      <c r="AE77" s="28">
        <f t="shared" si="35"/>
        <v>3.776165512023586</v>
      </c>
      <c r="AF77" s="28">
        <f t="shared" si="31"/>
        <v>-0.1888082756011793</v>
      </c>
      <c r="AG77" s="28">
        <f t="shared" si="31"/>
        <v>-0.25583777181731615</v>
      </c>
      <c r="AH77" s="28">
        <f t="shared" si="55"/>
        <v>-75.93382001801308</v>
      </c>
      <c r="AI77" s="28">
        <f t="shared" si="56"/>
        <v>-21.840583116646833</v>
      </c>
      <c r="AJ77" s="28">
        <f t="shared" si="40"/>
        <v>-94.442883670054812</v>
      </c>
      <c r="AK77" s="28">
        <f t="shared" si="41"/>
        <v>74.1893045525199</v>
      </c>
      <c r="AL77" s="28">
        <f t="shared" si="57"/>
        <v>30.574520516058474</v>
      </c>
      <c r="AM77" s="28">
        <f t="shared" si="42"/>
        <v>10.320941398523562</v>
      </c>
      <c r="AN77" s="28">
        <f t="shared" si="43"/>
        <v>1.0041754350353997</v>
      </c>
      <c r="AO77" s="28">
        <f t="shared" si="44"/>
        <v>11.325116833558962</v>
      </c>
      <c r="AT77" s="32">
        <f t="shared" si="58"/>
        <v>73</v>
      </c>
      <c r="AU77" s="30">
        <f t="shared" si="59"/>
        <v>0.26942426477115466</v>
      </c>
      <c r="AV77" s="30">
        <f t="shared" si="45"/>
        <v>3.3423696590450365E-2</v>
      </c>
      <c r="AW77" s="9">
        <f>ROUND((1000*NPV($AT$1,$AV78:$AV$79)-$AW$1*($AU78+NPV($AT$1,$AU79:$AU$79)))/AU78,3)</f>
        <v>922.46500000000003</v>
      </c>
      <c r="AX77" s="9">
        <f>ROUND(MAX(0,1000*NPV($AT$2,$AV78:$AV$79)-$AW$2*($AU78+NPV($AT$2,$AU79:$AU$79)))/AU78,3)</f>
        <v>892.04499999999996</v>
      </c>
    </row>
    <row r="78" spans="9:50" ht="16" x14ac:dyDescent="0.2">
      <c r="I78" s="32">
        <f t="shared" si="46"/>
        <v>74</v>
      </c>
      <c r="J78" s="20">
        <f t="shared" si="47"/>
        <v>369</v>
      </c>
      <c r="K78" s="20">
        <f t="shared" si="48"/>
        <v>18.45</v>
      </c>
      <c r="L78" s="21">
        <f t="shared" si="49"/>
        <v>25</v>
      </c>
      <c r="M78" s="20">
        <f t="shared" si="33"/>
        <v>50000</v>
      </c>
      <c r="N78" s="22">
        <f t="shared" si="36"/>
        <v>937.78499999999997</v>
      </c>
      <c r="O78" s="33">
        <f t="shared" si="37"/>
        <v>953.88800000000003</v>
      </c>
      <c r="P78" s="24">
        <f t="shared" si="38"/>
        <v>46889.25</v>
      </c>
      <c r="Q78" s="25">
        <f t="shared" si="39"/>
        <v>47694.400000000001</v>
      </c>
      <c r="R78" s="33"/>
      <c r="S78" s="33">
        <v>136.48399999999998</v>
      </c>
      <c r="T78" s="34">
        <f t="shared" si="29"/>
        <v>0.04</v>
      </c>
      <c r="U78" s="35">
        <f t="shared" si="50"/>
        <v>1.0233510872692645E-2</v>
      </c>
      <c r="V78" s="35">
        <f t="shared" si="51"/>
        <v>1.3967104979485828E-3</v>
      </c>
      <c r="W78" s="35">
        <f t="shared" si="52"/>
        <v>4.0934043490770583E-4</v>
      </c>
      <c r="X78" s="27">
        <f t="shared" si="53"/>
        <v>8.4274599398363563E-3</v>
      </c>
      <c r="Y78" s="36"/>
      <c r="Z78" s="28">
        <f t="shared" si="32"/>
        <v>472.00278035892103</v>
      </c>
      <c r="AA78" s="28">
        <f t="shared" si="32"/>
        <v>5.1167554363463221</v>
      </c>
      <c r="AB78" s="28">
        <f t="shared" si="54"/>
        <v>401.94264535453112</v>
      </c>
      <c r="AC78" s="28">
        <f t="shared" si="34"/>
        <v>4.2137299699181785</v>
      </c>
      <c r="AD78" s="36"/>
      <c r="AE78" s="28">
        <f t="shared" si="35"/>
        <v>3.1097327177996155</v>
      </c>
      <c r="AF78" s="28">
        <f t="shared" si="31"/>
        <v>-0.15548663588998077</v>
      </c>
      <c r="AG78" s="28">
        <f t="shared" si="31"/>
        <v>-0.2106864984959089</v>
      </c>
      <c r="AH78" s="28">
        <f t="shared" si="55"/>
        <v>-69.835524897429138</v>
      </c>
      <c r="AI78" s="28">
        <f t="shared" si="56"/>
        <v>-19.193665987496146</v>
      </c>
      <c r="AJ78" s="28">
        <f t="shared" si="40"/>
        <v>-86.285631301511557</v>
      </c>
      <c r="AK78" s="28">
        <f t="shared" si="41"/>
        <v>70.060135004389906</v>
      </c>
      <c r="AL78" s="28">
        <f t="shared" si="57"/>
        <v>26.404058003244732</v>
      </c>
      <c r="AM78" s="28">
        <f t="shared" si="42"/>
        <v>10.17856170612308</v>
      </c>
      <c r="AN78" s="28">
        <f t="shared" si="43"/>
        <v>0.90302546642814363</v>
      </c>
      <c r="AO78" s="28">
        <f t="shared" si="44"/>
        <v>11.081587172551224</v>
      </c>
      <c r="AT78" s="32">
        <f t="shared" si="58"/>
        <v>74</v>
      </c>
      <c r="AU78" s="30">
        <f>AU77-AV77</f>
        <v>0.23600056818070431</v>
      </c>
      <c r="AV78" s="30">
        <f t="shared" si="45"/>
        <v>3.2210301547575239E-2</v>
      </c>
      <c r="AW78" s="9">
        <f>ROUND((1000*NPV($AT$1,$AV79:$AV$79)-$AW$1*($AU79+NPV($AT$1,$AU$79:$AU80)))/AU79,3)</f>
        <v>953.88800000000003</v>
      </c>
      <c r="AX78" s="9">
        <f>ROUND(MAX(0,1000*NPV($AT$2,$AV79:$AV$79)-$AW$2*($AU79+NPV($AT$2,$AU$79:$AU80)))/AU79,3)</f>
        <v>937.78499999999997</v>
      </c>
    </row>
    <row r="79" spans="9:50" ht="16" x14ac:dyDescent="0.2">
      <c r="I79" s="32">
        <f t="shared" si="46"/>
        <v>75</v>
      </c>
      <c r="J79" s="20">
        <f t="shared" si="47"/>
        <v>369</v>
      </c>
      <c r="K79" s="20">
        <f t="shared" si="48"/>
        <v>18.45</v>
      </c>
      <c r="L79" s="21">
        <f t="shared" si="49"/>
        <v>25</v>
      </c>
      <c r="M79" s="20">
        <f t="shared" si="33"/>
        <v>50000</v>
      </c>
      <c r="N79" s="22">
        <f t="shared" si="36"/>
        <v>0</v>
      </c>
      <c r="O79" s="33">
        <f t="shared" si="37"/>
        <v>0</v>
      </c>
      <c r="P79" s="24">
        <f t="shared" si="38"/>
        <v>0</v>
      </c>
      <c r="Q79" s="25">
        <f t="shared" si="39"/>
        <v>0</v>
      </c>
      <c r="R79" s="33"/>
      <c r="S79" s="33">
        <v>1000</v>
      </c>
      <c r="T79" s="34">
        <f t="shared" si="29"/>
        <v>0.04</v>
      </c>
      <c r="U79" s="35">
        <f t="shared" si="50"/>
        <v>8.4274599398363563E-3</v>
      </c>
      <c r="V79" s="35">
        <f t="shared" si="51"/>
        <v>8.4274599398363563E-3</v>
      </c>
      <c r="W79" s="35">
        <f t="shared" si="52"/>
        <v>0</v>
      </c>
      <c r="X79" s="27">
        <f t="shared" si="53"/>
        <v>0</v>
      </c>
      <c r="Y79" s="36"/>
      <c r="Z79" s="28">
        <f t="shared" si="32"/>
        <v>401.94264535453112</v>
      </c>
      <c r="AA79" s="28">
        <f t="shared" si="32"/>
        <v>4.2137299699181785</v>
      </c>
      <c r="AB79" s="28">
        <f t="shared" si="54"/>
        <v>0</v>
      </c>
      <c r="AC79" s="28">
        <f t="shared" si="34"/>
        <v>0</v>
      </c>
      <c r="AD79" s="36"/>
      <c r="AE79" s="28">
        <f t="shared" si="35"/>
        <v>0</v>
      </c>
      <c r="AF79" s="28">
        <f t="shared" si="31"/>
        <v>0</v>
      </c>
      <c r="AG79" s="28">
        <f t="shared" si="31"/>
        <v>0</v>
      </c>
      <c r="AH79" s="28">
        <f t="shared" si="55"/>
        <v>-421.37299699181784</v>
      </c>
      <c r="AI79" s="28">
        <f t="shared" si="56"/>
        <v>0</v>
      </c>
      <c r="AJ79" s="28">
        <f t="shared" si="40"/>
        <v>-421.37299699181784</v>
      </c>
      <c r="AK79" s="28">
        <f t="shared" si="41"/>
        <v>401.94264535453112</v>
      </c>
      <c r="AL79" s="28">
        <f t="shared" si="57"/>
        <v>22.33860064284471</v>
      </c>
      <c r="AM79" s="28">
        <f t="shared" si="42"/>
        <v>2.908249005557991</v>
      </c>
      <c r="AN79" s="28">
        <f t="shared" si="43"/>
        <v>4.2137299699181785</v>
      </c>
      <c r="AO79" s="28">
        <f t="shared" si="44"/>
        <v>7.1219789754761695</v>
      </c>
      <c r="AT79" s="32">
        <f t="shared" si="58"/>
        <v>75</v>
      </c>
      <c r="AU79" s="30">
        <f>AU78-AV78</f>
        <v>0.20379026663312907</v>
      </c>
      <c r="AV79" s="30">
        <f t="shared" si="45"/>
        <v>0.20379026663312907</v>
      </c>
      <c r="AW79" s="9"/>
      <c r="AX79" s="9"/>
    </row>
    <row r="80" spans="9:50" x14ac:dyDescent="0.15">
      <c r="I80" s="32"/>
    </row>
    <row r="81" spans="9:41" x14ac:dyDescent="0.15">
      <c r="I81" s="32"/>
      <c r="AD81" s="55" t="s">
        <v>73</v>
      </c>
      <c r="AE81" s="56">
        <f>SUM(AE4:AE80)</f>
        <v>7385.9131855196501</v>
      </c>
      <c r="AF81" s="56">
        <f t="shared" ref="AF81:AO81" si="60">SUM(AF4:AF80)</f>
        <v>-646.04565927598242</v>
      </c>
      <c r="AG81" s="56">
        <f t="shared" si="60"/>
        <v>-675.40062232517971</v>
      </c>
      <c r="AH81" s="56">
        <f t="shared" si="60"/>
        <v>-4578.8987958006919</v>
      </c>
      <c r="AI81" s="56">
        <f t="shared" si="60"/>
        <v>-4089.6830431063395</v>
      </c>
      <c r="AJ81" s="56">
        <f t="shared" si="60"/>
        <v>-2604.1149349885436</v>
      </c>
      <c r="AK81" s="56">
        <f t="shared" si="60"/>
        <v>0</v>
      </c>
      <c r="AL81" s="56">
        <f t="shared" si="60"/>
        <v>9474.9524749570373</v>
      </c>
      <c r="AM81" s="56">
        <f t="shared" si="60"/>
        <v>6870.8375399684901</v>
      </c>
      <c r="AN81" s="56">
        <f t="shared" si="60"/>
        <v>0</v>
      </c>
      <c r="AO81" s="56">
        <f t="shared" si="60"/>
        <v>6870.8375399684892</v>
      </c>
    </row>
    <row r="82" spans="9:41" x14ac:dyDescent="0.15">
      <c r="I82" s="32"/>
      <c r="AD82" s="57"/>
    </row>
    <row r="83" spans="9:41" x14ac:dyDescent="0.15">
      <c r="I83" s="32"/>
      <c r="AD83" s="55" t="str">
        <f>"Present Value at "&amp;TEXT(D6,"0.00%")&amp;":"</f>
        <v>Present Value at 5.50%:</v>
      </c>
      <c r="AE83" s="56">
        <f>AE4+NPV($D$6,AE5:AE80)</f>
        <v>3508.3054352646768</v>
      </c>
      <c r="AF83" s="56">
        <f t="shared" ref="AF83:AO83" si="61">AF4+NPV($D$6,AF5:AF80)</f>
        <v>-452.16527176323382</v>
      </c>
      <c r="AG83" s="56">
        <f t="shared" si="61"/>
        <v>-412.69007013988323</v>
      </c>
      <c r="AH83" s="56">
        <f t="shared" si="61"/>
        <v>-624.95743760155551</v>
      </c>
      <c r="AI83" s="56">
        <f t="shared" si="61"/>
        <v>-714.93282165946675</v>
      </c>
      <c r="AJ83" s="56">
        <f t="shared" si="61"/>
        <v>1303.5598341005368</v>
      </c>
      <c r="AK83" s="56">
        <f t="shared" si="61"/>
        <v>-1951.2967719291178</v>
      </c>
      <c r="AL83" s="56">
        <f t="shared" si="61"/>
        <v>2387.8500660813625</v>
      </c>
      <c r="AM83" s="56">
        <f t="shared" si="61"/>
        <v>1740.113128252782</v>
      </c>
      <c r="AN83" s="56">
        <f t="shared" si="61"/>
        <v>-272.52458515966339</v>
      </c>
      <c r="AO83" s="56">
        <f t="shared" si="61"/>
        <v>1467.5885430931182</v>
      </c>
    </row>
    <row r="84" spans="9:41" x14ac:dyDescent="0.15">
      <c r="I84" s="32"/>
    </row>
    <row r="85" spans="9:41" x14ac:dyDescent="0.15">
      <c r="I85" s="32"/>
      <c r="AD85" s="55" t="str">
        <f>"Present Value at "&amp;TEXT(D7,"0.00%")&amp;":"</f>
        <v>Present Value at 12.00%:</v>
      </c>
      <c r="AE85" s="56">
        <f>AE4+NPV($D$7,AE5:AE80)</f>
        <v>2167.1167289685882</v>
      </c>
      <c r="AF85" s="56">
        <f t="shared" ref="AF85:AO85" si="62">AF4+NPV($D$7,AF5:AF80)</f>
        <v>-385.10583644842933</v>
      </c>
      <c r="AG85" s="56">
        <f t="shared" si="62"/>
        <v>-321.82362662388823</v>
      </c>
      <c r="AH85" s="56">
        <f t="shared" si="62"/>
        <v>-238.10097821148017</v>
      </c>
      <c r="AI85" s="56">
        <f t="shared" si="62"/>
        <v>-209.63827035195808</v>
      </c>
      <c r="AJ85" s="56">
        <f t="shared" si="62"/>
        <v>1012.4480173328316</v>
      </c>
      <c r="AK85" s="56">
        <f t="shared" si="62"/>
        <v>-1646.9151463925696</v>
      </c>
      <c r="AL85" s="56">
        <f t="shared" si="62"/>
        <v>1014.9022311304327</v>
      </c>
      <c r="AM85" s="56">
        <f t="shared" si="62"/>
        <v>380.43510207069471</v>
      </c>
      <c r="AN85" s="56">
        <f t="shared" si="62"/>
        <v>-362.43168715322975</v>
      </c>
      <c r="AO85" s="56">
        <f t="shared" si="62"/>
        <v>18.003414917464852</v>
      </c>
    </row>
    <row r="86" spans="9:41" x14ac:dyDescent="0.15">
      <c r="I86" s="32"/>
    </row>
    <row r="87" spans="9:41" x14ac:dyDescent="0.15">
      <c r="I87" s="32"/>
    </row>
    <row r="88" spans="9:41" x14ac:dyDescent="0.15">
      <c r="I88" s="32"/>
    </row>
    <row r="89" spans="9:41" x14ac:dyDescent="0.15">
      <c r="I89" s="32"/>
    </row>
    <row r="90" spans="9:41" x14ac:dyDescent="0.15">
      <c r="I90" s="32"/>
    </row>
    <row r="91" spans="9:41" x14ac:dyDescent="0.15">
      <c r="I91" s="32"/>
    </row>
    <row r="92" spans="9:41" x14ac:dyDescent="0.15">
      <c r="I92" s="32"/>
    </row>
    <row r="93" spans="9:41" x14ac:dyDescent="0.15">
      <c r="I93" s="32"/>
    </row>
  </sheetData>
  <mergeCells count="3">
    <mergeCell ref="AE1:AN1"/>
    <mergeCell ref="S2:X2"/>
    <mergeCell ref="Z2:AC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60F148-5B10-A347-BF84-8C6FBF49661D}">
  <dimension ref="A2:AO84"/>
  <sheetViews>
    <sheetView zoomScale="79" zoomScaleNormal="100" workbookViewId="0">
      <pane ySplit="8" topLeftCell="A9" activePane="bottomLeft" state="frozen"/>
      <selection pane="bottomLeft" activeCell="W41" sqref="W41"/>
    </sheetView>
  </sheetViews>
  <sheetFormatPr baseColWidth="10" defaultColWidth="8.83203125" defaultRowHeight="16" x14ac:dyDescent="0.2"/>
  <cols>
    <col min="1" max="1" width="17.33203125" customWidth="1"/>
    <col min="2" max="2" width="9.5" customWidth="1"/>
    <col min="3" max="3" width="7.5" customWidth="1"/>
    <col min="8" max="8" width="9.83203125" bestFit="1" customWidth="1"/>
    <col min="10" max="10" width="15.5" bestFit="1" customWidth="1"/>
    <col min="11" max="11" width="10" bestFit="1" customWidth="1"/>
    <col min="16" max="16" width="10.5" bestFit="1" customWidth="1"/>
    <col min="18" max="19" width="12" bestFit="1" customWidth="1"/>
    <col min="20" max="20" width="11" bestFit="1" customWidth="1"/>
    <col min="21" max="22" width="10.5" bestFit="1" customWidth="1"/>
    <col min="23" max="23" width="11" bestFit="1" customWidth="1"/>
    <col min="25" max="25" width="11.5" bestFit="1" customWidth="1"/>
    <col min="26" max="26" width="10.5" bestFit="1" customWidth="1"/>
    <col min="27" max="27" width="11.5" bestFit="1" customWidth="1"/>
    <col min="28" max="28" width="10.5" bestFit="1" customWidth="1"/>
  </cols>
  <sheetData>
    <row r="2" spans="1:41" x14ac:dyDescent="0.2">
      <c r="A2" t="s">
        <v>3</v>
      </c>
      <c r="D2" s="58">
        <v>39</v>
      </c>
      <c r="E2" t="s">
        <v>74</v>
      </c>
    </row>
    <row r="3" spans="1:41" x14ac:dyDescent="0.2">
      <c r="A3" t="s">
        <v>75</v>
      </c>
      <c r="D3" s="59">
        <v>2023</v>
      </c>
    </row>
    <row r="4" spans="1:41" x14ac:dyDescent="0.2">
      <c r="A4" t="s">
        <v>76</v>
      </c>
      <c r="D4" t="s">
        <v>1</v>
      </c>
    </row>
    <row r="5" spans="1:41" x14ac:dyDescent="0.2">
      <c r="A5" t="s">
        <v>77</v>
      </c>
      <c r="D5" t="s">
        <v>78</v>
      </c>
    </row>
    <row r="6" spans="1:41" x14ac:dyDescent="0.2">
      <c r="A6" t="s">
        <v>79</v>
      </c>
      <c r="D6" t="s">
        <v>80</v>
      </c>
      <c r="J6" s="6" t="s">
        <v>12</v>
      </c>
      <c r="K6" s="6"/>
      <c r="L6" s="6"/>
      <c r="M6" s="6"/>
      <c r="N6" s="6"/>
      <c r="O6" s="6"/>
      <c r="P6" s="6"/>
      <c r="R6" s="93" t="s">
        <v>13</v>
      </c>
      <c r="S6" s="93"/>
      <c r="T6" s="93"/>
      <c r="U6" s="93"/>
      <c r="V6" s="93"/>
      <c r="W6" s="93"/>
      <c r="Y6" s="96" t="s">
        <v>14</v>
      </c>
      <c r="Z6" s="96"/>
      <c r="AA6" s="96"/>
      <c r="AB6" s="96"/>
      <c r="AC6" s="5"/>
      <c r="AD6" s="91" t="s">
        <v>11</v>
      </c>
      <c r="AE6" s="91"/>
      <c r="AF6" s="91"/>
      <c r="AG6" s="91"/>
      <c r="AH6" s="91"/>
      <c r="AI6" s="91"/>
      <c r="AJ6" s="91"/>
      <c r="AK6" s="91"/>
      <c r="AL6" s="91"/>
      <c r="AM6" s="91"/>
    </row>
    <row r="7" spans="1:41" x14ac:dyDescent="0.2">
      <c r="AC7" s="5"/>
      <c r="AD7" s="7" t="s">
        <v>15</v>
      </c>
      <c r="AE7" s="7" t="s">
        <v>16</v>
      </c>
      <c r="AF7" s="7" t="s">
        <v>17</v>
      </c>
      <c r="AG7" s="7" t="s">
        <v>81</v>
      </c>
      <c r="AH7" s="7"/>
      <c r="AI7" s="7" t="s">
        <v>20</v>
      </c>
      <c r="AJ7" s="7" t="s">
        <v>21</v>
      </c>
      <c r="AK7" s="7" t="s">
        <v>22</v>
      </c>
      <c r="AL7" s="7" t="s">
        <v>23</v>
      </c>
      <c r="AM7" s="7" t="s">
        <v>24</v>
      </c>
    </row>
    <row r="8" spans="1:41" ht="42" x14ac:dyDescent="0.2">
      <c r="G8" t="s">
        <v>25</v>
      </c>
      <c r="H8" s="60" t="e">
        <f>#REF!</f>
        <v>#REF!</v>
      </c>
      <c r="I8" t="s">
        <v>26</v>
      </c>
      <c r="J8" s="7" t="s">
        <v>27</v>
      </c>
      <c r="K8" s="7" t="s">
        <v>28</v>
      </c>
      <c r="L8" s="7" t="s">
        <v>29</v>
      </c>
      <c r="M8" s="17" t="s">
        <v>30</v>
      </c>
      <c r="N8" s="17" t="s">
        <v>32</v>
      </c>
      <c r="O8" s="17" t="s">
        <v>34</v>
      </c>
      <c r="P8" s="17" t="s">
        <v>82</v>
      </c>
      <c r="R8" t="s">
        <v>5</v>
      </c>
      <c r="S8" t="s">
        <v>36</v>
      </c>
      <c r="T8" t="s">
        <v>83</v>
      </c>
      <c r="U8" t="s">
        <v>38</v>
      </c>
      <c r="V8" t="s">
        <v>84</v>
      </c>
      <c r="W8" t="s">
        <v>85</v>
      </c>
      <c r="Y8" s="17" t="s">
        <v>41</v>
      </c>
      <c r="Z8" s="17" t="s">
        <v>42</v>
      </c>
      <c r="AA8" s="17" t="s">
        <v>43</v>
      </c>
      <c r="AB8" s="17" t="s">
        <v>44</v>
      </c>
      <c r="AC8" s="17"/>
      <c r="AD8" s="19" t="s">
        <v>45</v>
      </c>
      <c r="AE8" s="19" t="s">
        <v>46</v>
      </c>
      <c r="AF8" s="19" t="s">
        <v>47</v>
      </c>
      <c r="AG8" s="19" t="s">
        <v>86</v>
      </c>
      <c r="AH8" s="19" t="s">
        <v>50</v>
      </c>
      <c r="AI8" s="19" t="s">
        <v>51</v>
      </c>
      <c r="AJ8" s="19" t="s">
        <v>52</v>
      </c>
      <c r="AK8" s="19" t="s">
        <v>53</v>
      </c>
      <c r="AL8" s="19" t="s">
        <v>54</v>
      </c>
      <c r="AM8" s="19" t="s">
        <v>87</v>
      </c>
      <c r="AN8" s="61" t="s">
        <v>88</v>
      </c>
      <c r="AO8" s="7"/>
    </row>
    <row r="9" spans="1:41" x14ac:dyDescent="0.2">
      <c r="I9" s="7">
        <v>0</v>
      </c>
      <c r="J9" s="60" t="e">
        <f>$H$8</f>
        <v>#REF!</v>
      </c>
      <c r="K9" s="60" t="e">
        <f>$C$23*J9</f>
        <v>#REF!</v>
      </c>
      <c r="L9" t="e">
        <f>(C18*H8)+SUM(C28,C30,C32,C34)</f>
        <v>#REF!</v>
      </c>
      <c r="M9">
        <f>$D$12</f>
        <v>50000</v>
      </c>
      <c r="N9">
        <f>B40</f>
        <v>0.85</v>
      </c>
      <c r="O9">
        <f t="shared" ref="O9:O29" si="0">M9*N9/1000</f>
        <v>42.5</v>
      </c>
      <c r="P9">
        <f t="shared" ref="P9:P29" si="1">$D$15*M9/1000</f>
        <v>0.5</v>
      </c>
      <c r="T9" s="62">
        <f>INDEX([1]Inforce_SOP!$B$5:$B$27,  MATCH(WLI!$D$3-WLI!$I$29,[1]Inforce_SOP!$A$5:$A$27, 0))</f>
        <v>0.97550553319958078</v>
      </c>
      <c r="U9" s="63"/>
      <c r="V9" s="63"/>
      <c r="W9" s="63">
        <f>INDEX([1]Inforce_SOP!$C$5:$C$27,  MATCH(WLI!$D$3-WLI!$I$29,[1]Inforce_SOP!$A$5:$A$27, 0))</f>
        <v>0.96480683019318547</v>
      </c>
      <c r="X9" s="63"/>
      <c r="Y9" s="63"/>
      <c r="Z9" s="63"/>
      <c r="AA9" s="63">
        <f t="shared" ref="AA9:AA29" si="2">O9*W9</f>
        <v>41.004290283210381</v>
      </c>
      <c r="AB9" s="63">
        <f t="shared" ref="AB9:AB29" si="3">P9*W9</f>
        <v>0.48240341509659274</v>
      </c>
      <c r="AD9" s="2" t="e">
        <f t="shared" ref="AD9:AD29" si="4">J9*$W9</f>
        <v>#REF!</v>
      </c>
      <c r="AE9" s="2" t="e">
        <f t="shared" ref="AE9:AF29" si="5">-$W9*K9</f>
        <v>#REF!</v>
      </c>
      <c r="AF9" s="64" t="e">
        <f t="shared" si="5"/>
        <v>#REF!</v>
      </c>
      <c r="AG9" s="64"/>
      <c r="AH9" s="64" t="e">
        <f t="shared" ref="AH9:AH29" si="6">SUM(AD9:AG9)</f>
        <v>#REF!</v>
      </c>
      <c r="AI9" s="64">
        <f t="shared" ref="AI9:AI29" si="7">Y9-AA9</f>
        <v>-41.004290283210381</v>
      </c>
      <c r="AJ9" s="64"/>
      <c r="AK9" s="64" t="e">
        <f t="shared" ref="AK9:AK29" si="8">SUM(AH9:AJ9)</f>
        <v>#REF!</v>
      </c>
      <c r="AL9" s="64">
        <f t="shared" ref="AL9:AL29" si="9">Z9-AB9</f>
        <v>-0.48240341509659274</v>
      </c>
      <c r="AM9" s="64" t="e">
        <f t="shared" ref="AM9:AM29" si="10">AK9+AL9</f>
        <v>#REF!</v>
      </c>
      <c r="AN9" s="5"/>
      <c r="AO9" s="65">
        <f>AK35</f>
        <v>0</v>
      </c>
    </row>
    <row r="10" spans="1:41" x14ac:dyDescent="0.2">
      <c r="A10" s="66" t="s">
        <v>89</v>
      </c>
      <c r="I10" s="32">
        <f>I9+1</f>
        <v>1</v>
      </c>
      <c r="J10" s="60"/>
      <c r="K10" s="60"/>
      <c r="M10">
        <f t="shared" ref="M10:M29" si="11">$D$12</f>
        <v>50000</v>
      </c>
      <c r="N10">
        <v>0.6</v>
      </c>
      <c r="O10">
        <f t="shared" si="0"/>
        <v>30</v>
      </c>
      <c r="P10">
        <f t="shared" si="1"/>
        <v>0.5</v>
      </c>
      <c r="R10" s="63">
        <f>_xlfn.XLOOKUP(D2,[1]mortality_data!$A:$A,[1]mortality_data!$B:$B)</f>
        <v>1.1303800152477699E-3</v>
      </c>
      <c r="S10" s="63">
        <f>INDEX([1]Lapse_Rate!$B$29:$AE$29,  MATCH(WLI!$D$2, [1]Lapse_Rate!$B$4:$AE$4, 0))</f>
        <v>0.11681508966242718</v>
      </c>
      <c r="T10" s="63">
        <f>W9</f>
        <v>0.96480683019318547</v>
      </c>
      <c r="U10" s="63">
        <f>T10*R10</f>
        <v>1.0905983594249255E-3</v>
      </c>
      <c r="V10" s="63">
        <f>MIN(S10*T10,T10-U10)</f>
        <v>0.11270399637593911</v>
      </c>
      <c r="W10" s="63">
        <f t="shared" ref="W10:W29" si="12">T10-SUM(U10:V10)</f>
        <v>0.85101223545782145</v>
      </c>
      <c r="X10" s="63"/>
      <c r="Y10" s="63">
        <f t="shared" ref="Y10:Z29" si="13">AA9</f>
        <v>41.004290283210381</v>
      </c>
      <c r="Z10" s="63">
        <f t="shared" si="13"/>
        <v>0.48240341509659274</v>
      </c>
      <c r="AA10" s="63">
        <f t="shared" si="2"/>
        <v>25.530367063734644</v>
      </c>
      <c r="AB10" s="63">
        <f t="shared" si="3"/>
        <v>0.42550611772891073</v>
      </c>
      <c r="AD10" s="2">
        <f t="shared" si="4"/>
        <v>0</v>
      </c>
      <c r="AE10" s="2">
        <f t="shared" si="5"/>
        <v>0</v>
      </c>
      <c r="AF10" s="64">
        <f t="shared" si="5"/>
        <v>0</v>
      </c>
      <c r="AG10" s="64">
        <f t="shared" ref="AG10:AG29" si="14">-U10*M10</f>
        <v>-54.529917971246277</v>
      </c>
      <c r="AH10" s="64">
        <f t="shared" si="6"/>
        <v>-54.529917971246277</v>
      </c>
      <c r="AI10" s="64">
        <f t="shared" si="7"/>
        <v>15.473923219475736</v>
      </c>
      <c r="AJ10" s="64">
        <f t="shared" ref="AJ10:AJ29" si="15">$D$13*SUM(Y10:Z10,AD10:AE10)</f>
        <v>2.0743346849153488</v>
      </c>
      <c r="AK10" s="64">
        <f t="shared" si="8"/>
        <v>-36.981660066855191</v>
      </c>
      <c r="AL10" s="64">
        <f t="shared" si="9"/>
        <v>5.6897297367682009E-2</v>
      </c>
      <c r="AM10" s="64">
        <f t="shared" si="10"/>
        <v>-36.924762769487508</v>
      </c>
      <c r="AN10" s="5" t="s">
        <v>59</v>
      </c>
      <c r="AO10" s="67"/>
    </row>
    <row r="11" spans="1:41" x14ac:dyDescent="0.2">
      <c r="I11" s="32">
        <f t="shared" ref="I11:I74" si="16">I10+1</f>
        <v>2</v>
      </c>
      <c r="J11" s="60">
        <v>0</v>
      </c>
      <c r="K11" s="60" t="e">
        <f>$H$8*$C$24</f>
        <v>#REF!</v>
      </c>
      <c r="L11" t="e">
        <f>SUM($C$29,$C$31,$C$33,$C$35)+$H$8*$C$19</f>
        <v>#REF!</v>
      </c>
      <c r="M11">
        <f t="shared" si="11"/>
        <v>50000</v>
      </c>
      <c r="N11">
        <f>B43</f>
        <v>0.75</v>
      </c>
      <c r="O11">
        <f t="shared" si="0"/>
        <v>37.5</v>
      </c>
      <c r="P11">
        <f t="shared" si="1"/>
        <v>0.5</v>
      </c>
      <c r="R11" s="63">
        <f>_xlfn.XLOOKUP(D2,[1]mortality_data!$A:$A,[1]mortality_data!$C:$C)*_xlfn.XLOOKUP(D2+I10,[1]mortality_data!$A:$A,[1]mortality_data!$B:$B)</f>
        <v>1.2244153237092926E-3</v>
      </c>
      <c r="S11" s="63">
        <f>INDEX([1]Lapse_Rate!$B$29:$AE$29,  MATCH(WLI!$D$2, [1]Lapse_Rate!$B$4:$AE$4, 0))</f>
        <v>0.11681508966242718</v>
      </c>
      <c r="T11" s="63">
        <f t="shared" ref="T11:T29" si="17">W10</f>
        <v>0.85101223545782145</v>
      </c>
      <c r="U11" s="63">
        <f>T11*R11</f>
        <v>1.0419924217586571E-3</v>
      </c>
      <c r="V11" s="63">
        <f t="shared" ref="V11:V29" si="18">MIN(S11*T11,T11-U11)</f>
        <v>9.9411070588828004E-2</v>
      </c>
      <c r="W11" s="63">
        <f t="shared" si="12"/>
        <v>0.7505591724472348</v>
      </c>
      <c r="X11" s="63"/>
      <c r="Y11" s="63">
        <f t="shared" si="13"/>
        <v>25.530367063734644</v>
      </c>
      <c r="Z11" s="63">
        <f t="shared" si="13"/>
        <v>0.42550611772891073</v>
      </c>
      <c r="AA11" s="63">
        <f t="shared" si="2"/>
        <v>28.145968966771306</v>
      </c>
      <c r="AB11" s="63">
        <f t="shared" si="3"/>
        <v>0.3752795862236174</v>
      </c>
      <c r="AD11" s="2">
        <f t="shared" si="4"/>
        <v>0</v>
      </c>
      <c r="AE11" s="2" t="e">
        <f t="shared" si="5"/>
        <v>#REF!</v>
      </c>
      <c r="AF11" s="64" t="e">
        <f t="shared" si="5"/>
        <v>#REF!</v>
      </c>
      <c r="AG11" s="64">
        <f t="shared" si="14"/>
        <v>-52.099621087932853</v>
      </c>
      <c r="AH11" s="64" t="e">
        <f t="shared" si="6"/>
        <v>#REF!</v>
      </c>
      <c r="AI11" s="64">
        <f t="shared" si="7"/>
        <v>-2.6156019030366622</v>
      </c>
      <c r="AJ11" s="64" t="e">
        <f t="shared" si="15"/>
        <v>#REF!</v>
      </c>
      <c r="AK11" s="64" t="e">
        <f t="shared" si="8"/>
        <v>#REF!</v>
      </c>
      <c r="AL11" s="64">
        <f t="shared" si="9"/>
        <v>5.0226531505293326E-2</v>
      </c>
      <c r="AM11" s="64" t="e">
        <f t="shared" si="10"/>
        <v>#REF!</v>
      </c>
      <c r="AN11" s="5"/>
      <c r="AO11" s="65">
        <f>AM34</f>
        <v>0</v>
      </c>
    </row>
    <row r="12" spans="1:41" x14ac:dyDescent="0.2">
      <c r="A12" t="s">
        <v>30</v>
      </c>
      <c r="D12" s="68">
        <v>50000</v>
      </c>
      <c r="E12" t="s">
        <v>74</v>
      </c>
      <c r="I12" s="32">
        <f t="shared" si="16"/>
        <v>3</v>
      </c>
      <c r="J12" s="60">
        <v>0</v>
      </c>
      <c r="K12" s="60" t="e">
        <f t="shared" ref="K12:K29" si="19">$H$8*$C$24</f>
        <v>#REF!</v>
      </c>
      <c r="L12" t="e">
        <f t="shared" ref="L12:L29" si="20">SUM($C$29,$C$31,$C$33,$C$35)+$H$8*$C$19</f>
        <v>#REF!</v>
      </c>
      <c r="M12">
        <f t="shared" si="11"/>
        <v>50000</v>
      </c>
      <c r="N12">
        <f>B44</f>
        <v>0.7</v>
      </c>
      <c r="O12">
        <f t="shared" si="0"/>
        <v>35</v>
      </c>
      <c r="P12">
        <f t="shared" si="1"/>
        <v>0.5</v>
      </c>
      <c r="R12" s="63">
        <f>_xlfn.XLOOKUP(D2,[1]mortality_data!$A:$A,[1]mortality_data!$C:$C)*_xlfn.XLOOKUP(D2+I10,[1]mortality_data!$A:$A,[1]mortality_data!$C:$C)*_xlfn.XLOOKUP(D2+I11,[1]mortality_data!$A:$A,[1]mortality_data!$B:$B)</f>
        <v>1.3338700718699963E-3</v>
      </c>
      <c r="S12" s="63">
        <f>INDEX([1]Lapse_Rate!$B$29:$AE$29,  MATCH(WLI!$D$2, [1]Lapse_Rate!$B$4:$AE$4, 0))</f>
        <v>0.11681508966242718</v>
      </c>
      <c r="T12" s="63">
        <f t="shared" si="17"/>
        <v>0.7505591724472348</v>
      </c>
      <c r="U12" s="63">
        <f>T12*R12</f>
        <v>1.001148417294878E-3</v>
      </c>
      <c r="V12" s="63">
        <f t="shared" si="18"/>
        <v>8.7676637026380871E-2</v>
      </c>
      <c r="W12" s="63">
        <f t="shared" si="12"/>
        <v>0.66188138700355903</v>
      </c>
      <c r="X12" s="63"/>
      <c r="Y12" s="63">
        <f t="shared" si="13"/>
        <v>28.145968966771306</v>
      </c>
      <c r="Z12" s="63">
        <f t="shared" si="13"/>
        <v>0.3752795862236174</v>
      </c>
      <c r="AA12" s="63">
        <f t="shared" si="2"/>
        <v>23.165848545124565</v>
      </c>
      <c r="AB12" s="63">
        <f t="shared" si="3"/>
        <v>0.33094069350177951</v>
      </c>
      <c r="AD12" s="2">
        <f t="shared" si="4"/>
        <v>0</v>
      </c>
      <c r="AE12" s="2" t="e">
        <f t="shared" si="5"/>
        <v>#REF!</v>
      </c>
      <c r="AF12" s="64" t="e">
        <f t="shared" si="5"/>
        <v>#REF!</v>
      </c>
      <c r="AG12" s="64">
        <f t="shared" si="14"/>
        <v>-50.057420864743904</v>
      </c>
      <c r="AH12" s="64" t="e">
        <f t="shared" si="6"/>
        <v>#REF!</v>
      </c>
      <c r="AI12" s="64">
        <f t="shared" si="7"/>
        <v>4.9801204216467418</v>
      </c>
      <c r="AJ12" s="64" t="e">
        <f t="shared" si="15"/>
        <v>#REF!</v>
      </c>
      <c r="AK12" s="64" t="e">
        <f t="shared" si="8"/>
        <v>#REF!</v>
      </c>
      <c r="AL12" s="64">
        <f t="shared" si="9"/>
        <v>4.4338892721837886E-2</v>
      </c>
      <c r="AM12" s="64" t="e">
        <f t="shared" si="10"/>
        <v>#REF!</v>
      </c>
    </row>
    <row r="13" spans="1:41" x14ac:dyDescent="0.2">
      <c r="A13" s="69" t="s">
        <v>90</v>
      </c>
      <c r="B13" s="69"/>
      <c r="C13" s="69"/>
      <c r="D13" s="70">
        <v>0.05</v>
      </c>
      <c r="E13" s="69" t="s">
        <v>91</v>
      </c>
      <c r="F13" s="69"/>
      <c r="I13" s="32">
        <f t="shared" si="16"/>
        <v>4</v>
      </c>
      <c r="J13" s="60">
        <v>0</v>
      </c>
      <c r="K13" s="60" t="e">
        <f t="shared" si="19"/>
        <v>#REF!</v>
      </c>
      <c r="L13" t="e">
        <f t="shared" si="20"/>
        <v>#REF!</v>
      </c>
      <c r="M13">
        <f t="shared" si="11"/>
        <v>50000</v>
      </c>
      <c r="N13">
        <f t="shared" ref="N13:N29" si="21">B44</f>
        <v>0.7</v>
      </c>
      <c r="O13">
        <f t="shared" si="0"/>
        <v>35</v>
      </c>
      <c r="P13">
        <f t="shared" si="1"/>
        <v>0.5</v>
      </c>
      <c r="R13" s="63">
        <f>_xlfn.XLOOKUP(D2,[1]mortality_data!$A:$A,[1]mortality_data!$C:$C)*_xlfn.XLOOKUP(D2+I10,[1]mortality_data!$A:$A,[1]mortality_data!$C:$C)*_xlfn.XLOOKUP(D2+I11,[1]mortality_data!$A:$A,[1]mortality_data!$C:$C)*_xlfn.XLOOKUP(D2+I12,[1]mortality_data!$A:$A,[1]mortality_data!$B:$B)</f>
        <v>1.4420937495111638E-3</v>
      </c>
      <c r="S13" s="63">
        <f>INDEX([1]Lapse_Rate!$B$29:$AE$29,  MATCH(WLI!$D$2, [1]Lapse_Rate!$B$4:$AE$4, 0))</f>
        <v>0.11681508966242718</v>
      </c>
      <c r="T13" s="63">
        <f t="shared" si="17"/>
        <v>0.66188138700355903</v>
      </c>
      <c r="U13" s="63">
        <f>T13*R13</f>
        <v>9.5449501111561209E-4</v>
      </c>
      <c r="V13" s="63">
        <f t="shared" si="18"/>
        <v>7.731773356871241E-2</v>
      </c>
      <c r="W13" s="63">
        <f t="shared" si="12"/>
        <v>0.58360915842373107</v>
      </c>
      <c r="X13" s="63"/>
      <c r="Y13" s="63">
        <f t="shared" si="13"/>
        <v>23.165848545124565</v>
      </c>
      <c r="Z13" s="63">
        <f t="shared" si="13"/>
        <v>0.33094069350177951</v>
      </c>
      <c r="AA13" s="63">
        <f t="shared" si="2"/>
        <v>20.426320544830588</v>
      </c>
      <c r="AB13" s="63">
        <f t="shared" si="3"/>
        <v>0.29180457921186553</v>
      </c>
      <c r="AD13" s="2">
        <f t="shared" si="4"/>
        <v>0</v>
      </c>
      <c r="AE13" s="2" t="e">
        <f t="shared" si="5"/>
        <v>#REF!</v>
      </c>
      <c r="AF13" s="64" t="e">
        <f t="shared" si="5"/>
        <v>#REF!</v>
      </c>
      <c r="AG13" s="64">
        <f t="shared" si="14"/>
        <v>-47.724750555780602</v>
      </c>
      <c r="AH13" s="64" t="e">
        <f t="shared" si="6"/>
        <v>#REF!</v>
      </c>
      <c r="AI13" s="64">
        <f t="shared" si="7"/>
        <v>2.7395280002939764</v>
      </c>
      <c r="AJ13" s="64" t="e">
        <f t="shared" si="15"/>
        <v>#REF!</v>
      </c>
      <c r="AK13" s="64" t="e">
        <f t="shared" si="8"/>
        <v>#REF!</v>
      </c>
      <c r="AL13" s="64">
        <f t="shared" si="9"/>
        <v>3.9136114289913981E-2</v>
      </c>
      <c r="AM13" s="64" t="e">
        <f t="shared" si="10"/>
        <v>#REF!</v>
      </c>
    </row>
    <row r="14" spans="1:41" x14ac:dyDescent="0.2">
      <c r="A14" t="s">
        <v>92</v>
      </c>
      <c r="D14" s="71" t="s">
        <v>93</v>
      </c>
      <c r="I14" s="32">
        <f t="shared" si="16"/>
        <v>5</v>
      </c>
      <c r="J14" s="60">
        <v>0</v>
      </c>
      <c r="K14" s="60" t="e">
        <f t="shared" si="19"/>
        <v>#REF!</v>
      </c>
      <c r="L14" t="e">
        <f t="shared" si="20"/>
        <v>#REF!</v>
      </c>
      <c r="M14">
        <f t="shared" si="11"/>
        <v>50000</v>
      </c>
      <c r="N14">
        <f t="shared" si="21"/>
        <v>0.64999999999999991</v>
      </c>
      <c r="O14">
        <f t="shared" si="0"/>
        <v>32.499999999999993</v>
      </c>
      <c r="P14">
        <f t="shared" si="1"/>
        <v>0.5</v>
      </c>
      <c r="R14" s="63">
        <f>_xlfn.XLOOKUP(D2,[1]mortality_data!$A:$A,[1]mortality_data!$C:$C)*_xlfn.XLOOKUP(D2+I10,[1]mortality_data!$A:$A,[1]mortality_data!$C:$C)*_xlfn.XLOOKUP(D2+I11,[1]mortality_data!$A:$A,[1]mortality_data!$C:$C)*_xlfn.XLOOKUP(D2+I12,[1]mortality_data!$A:$A,[1]mortality_data!$C:$C)*_xlfn.XLOOKUP(D2+I13,[1]mortality_data!$A:$A,[1]mortality_data!$B:$B)</f>
        <v>1.5652826885914379E-3</v>
      </c>
      <c r="S14" s="63">
        <f>INDEX([1]Lapse_Rate!$B$29:$AE$29,  MATCH(WLI!$D$2, [1]Lapse_Rate!$B$4:$AE$4, 0))</f>
        <v>0.11681508966242718</v>
      </c>
      <c r="T14" s="63">
        <f t="shared" si="17"/>
        <v>0.58360915842373107</v>
      </c>
      <c r="U14" s="63">
        <f>T14*R14</f>
        <v>9.1351331258408418E-4</v>
      </c>
      <c r="V14" s="63">
        <f t="shared" si="18"/>
        <v>6.817435616908181E-2</v>
      </c>
      <c r="W14" s="63">
        <f t="shared" si="12"/>
        <v>0.51452128894206517</v>
      </c>
      <c r="X14" s="72"/>
      <c r="Y14" s="63">
        <f t="shared" si="13"/>
        <v>20.426320544830588</v>
      </c>
      <c r="Z14" s="63">
        <f t="shared" si="13"/>
        <v>0.29180457921186553</v>
      </c>
      <c r="AA14" s="63">
        <f t="shared" si="2"/>
        <v>16.721941890617114</v>
      </c>
      <c r="AB14" s="63">
        <f t="shared" si="3"/>
        <v>0.25726064447103258</v>
      </c>
      <c r="AD14" s="2">
        <f t="shared" si="4"/>
        <v>0</v>
      </c>
      <c r="AE14" s="2" t="e">
        <f t="shared" si="5"/>
        <v>#REF!</v>
      </c>
      <c r="AF14" s="64" t="e">
        <f t="shared" si="5"/>
        <v>#REF!</v>
      </c>
      <c r="AG14" s="64">
        <f t="shared" si="14"/>
        <v>-45.675665629204211</v>
      </c>
      <c r="AH14" s="64" t="e">
        <f t="shared" si="6"/>
        <v>#REF!</v>
      </c>
      <c r="AI14" s="64">
        <f t="shared" si="7"/>
        <v>3.7043786542134747</v>
      </c>
      <c r="AJ14" s="64" t="e">
        <f t="shared" si="15"/>
        <v>#REF!</v>
      </c>
      <c r="AK14" s="64" t="e">
        <f t="shared" si="8"/>
        <v>#REF!</v>
      </c>
      <c r="AL14" s="64">
        <f t="shared" si="9"/>
        <v>3.4543934740832949E-2</v>
      </c>
      <c r="AM14" s="64" t="e">
        <f t="shared" si="10"/>
        <v>#REF!</v>
      </c>
    </row>
    <row r="15" spans="1:41" x14ac:dyDescent="0.2">
      <c r="A15" s="73" t="s">
        <v>70</v>
      </c>
      <c r="B15" s="69"/>
      <c r="C15" s="69"/>
      <c r="D15" s="69">
        <v>0.01</v>
      </c>
      <c r="E15" s="69" t="s">
        <v>94</v>
      </c>
      <c r="F15" s="69"/>
      <c r="I15" s="32">
        <f t="shared" si="16"/>
        <v>6</v>
      </c>
      <c r="J15" s="60">
        <v>0</v>
      </c>
      <c r="K15" s="60" t="e">
        <f t="shared" si="19"/>
        <v>#REF!</v>
      </c>
      <c r="L15" t="e">
        <f t="shared" si="20"/>
        <v>#REF!</v>
      </c>
      <c r="M15">
        <f t="shared" si="11"/>
        <v>50000</v>
      </c>
      <c r="N15">
        <f t="shared" si="21"/>
        <v>0.59999999999999987</v>
      </c>
      <c r="O15">
        <f t="shared" si="0"/>
        <v>29.999999999999993</v>
      </c>
      <c r="P15">
        <f t="shared" si="1"/>
        <v>0.5</v>
      </c>
      <c r="R15" s="63">
        <f>_xlfn.XLOOKUP(D2,[1]mortality_data!$A:$A,[1]mortality_data!$C:$C)*_xlfn.XLOOKUP(D2+I10,[1]mortality_data!$A:$A,[1]mortality_data!$C:$C)*_xlfn.XLOOKUP(D2+I11,[1]mortality_data!$A:$A,[1]mortality_data!$C:$C)*_xlfn.XLOOKUP(D2+I12,[1]mortality_data!$A:$A,[1]mortality_data!$C:$C)*_xlfn.XLOOKUP(D2+I13,[1]mortality_data!$A:$A,[1]mortality_data!$C:$C)*_xlfn.XLOOKUP(D2+I14,[1]mortality_data!$A:$A,[1]mortality_data!$B:$B)</f>
        <v>1.697483184395708E-3</v>
      </c>
      <c r="S15" s="63">
        <f>INDEX([1]Lapse_Rate!$B$29:$AE$29,  MATCH(WLI!$D$2, [1]Lapse_Rate!$B$4:$AE$4, 0))</f>
        <v>0.11681508966242718</v>
      </c>
      <c r="T15" s="63">
        <f t="shared" si="17"/>
        <v>0.51452128894206517</v>
      </c>
      <c r="U15" s="63">
        <f t="shared" ref="U15:U29" si="22">T15*R15</f>
        <v>8.7339123599276098E-4</v>
      </c>
      <c r="V15" s="63">
        <f t="shared" si="18"/>
        <v>6.0103850500994947E-2</v>
      </c>
      <c r="W15" s="63">
        <f t="shared" si="12"/>
        <v>0.45354404720507746</v>
      </c>
      <c r="X15" s="72"/>
      <c r="Y15" s="63">
        <f t="shared" si="13"/>
        <v>16.721941890617114</v>
      </c>
      <c r="Z15" s="63">
        <f t="shared" si="13"/>
        <v>0.25726064447103258</v>
      </c>
      <c r="AA15" s="63">
        <f t="shared" si="2"/>
        <v>13.606321416152321</v>
      </c>
      <c r="AB15" s="63">
        <f t="shared" si="3"/>
        <v>0.22677202360253873</v>
      </c>
      <c r="AD15" s="2">
        <f t="shared" si="4"/>
        <v>0</v>
      </c>
      <c r="AE15" s="2" t="e">
        <f t="shared" si="5"/>
        <v>#REF!</v>
      </c>
      <c r="AF15" s="64" t="e">
        <f t="shared" si="5"/>
        <v>#REF!</v>
      </c>
      <c r="AG15" s="64">
        <f t="shared" si="14"/>
        <v>-43.669561799638046</v>
      </c>
      <c r="AH15" s="64" t="e">
        <f t="shared" si="6"/>
        <v>#REF!</v>
      </c>
      <c r="AI15" s="64">
        <f t="shared" si="7"/>
        <v>3.1156204744647926</v>
      </c>
      <c r="AJ15" s="64" t="e">
        <f t="shared" si="15"/>
        <v>#REF!</v>
      </c>
      <c r="AK15" s="64" t="e">
        <f t="shared" si="8"/>
        <v>#REF!</v>
      </c>
      <c r="AL15" s="64">
        <f t="shared" si="9"/>
        <v>3.0488620868493854E-2</v>
      </c>
      <c r="AM15" s="64" t="e">
        <f t="shared" si="10"/>
        <v>#REF!</v>
      </c>
    </row>
    <row r="16" spans="1:41" x14ac:dyDescent="0.2">
      <c r="A16" s="69" t="s">
        <v>95</v>
      </c>
      <c r="B16" s="69" t="s">
        <v>91</v>
      </c>
      <c r="C16" s="69"/>
      <c r="I16" s="32">
        <f t="shared" si="16"/>
        <v>7</v>
      </c>
      <c r="J16" s="60">
        <v>0</v>
      </c>
      <c r="K16" s="60" t="e">
        <f t="shared" si="19"/>
        <v>#REF!</v>
      </c>
      <c r="L16" t="e">
        <f t="shared" si="20"/>
        <v>#REF!</v>
      </c>
      <c r="M16">
        <f t="shared" si="11"/>
        <v>50000</v>
      </c>
      <c r="N16">
        <f t="shared" si="21"/>
        <v>0.54999999999999982</v>
      </c>
      <c r="O16">
        <f t="shared" si="0"/>
        <v>27.499999999999993</v>
      </c>
      <c r="P16">
        <f t="shared" si="1"/>
        <v>0.5</v>
      </c>
      <c r="R16" s="63">
        <f>_xlfn.XLOOKUP(D2,[1]mortality_data!$A:$A,[1]mortality_data!$C:$C)*_xlfn.XLOOKUP(D2+I10,[1]mortality_data!$A:$A,[1]mortality_data!$C:$C)*_xlfn.XLOOKUP(D2+I11,[1]mortality_data!$A:$A,[1]mortality_data!$C:$C)*_xlfn.XLOOKUP(D2+I12,[1]mortality_data!$A:$A,[1]mortality_data!$C:$C)*_xlfn.XLOOKUP(D2+I13,[1]mortality_data!$A:$A,[1]mortality_data!$C:$C)*_xlfn.XLOOKUP(D2+I14,[1]mortality_data!$A:$A,[1]mortality_data!$C:$C)*_xlfn.XLOOKUP(D2+I15,[1]mortality_data!$A:$A,[1]mortality_data!$B:$B)</f>
        <v>1.8411520552793217E-3</v>
      </c>
      <c r="S16" s="63">
        <f>INDEX([1]Lapse_Rate!$B$29:$AE$29,  MATCH(WLI!$D$2, [1]Lapse_Rate!$B$4:$AE$4, 0))</f>
        <v>0.11681508966242718</v>
      </c>
      <c r="T16" s="63">
        <f t="shared" si="17"/>
        <v>0.45354404720507746</v>
      </c>
      <c r="U16" s="63">
        <f t="shared" si="22"/>
        <v>8.3504355467133007E-4</v>
      </c>
      <c r="V16" s="63">
        <f t="shared" si="18"/>
        <v>5.2980788540121226E-2</v>
      </c>
      <c r="W16" s="63">
        <f t="shared" si="12"/>
        <v>0.39972821511028489</v>
      </c>
      <c r="X16" s="72"/>
      <c r="Y16" s="63">
        <f t="shared" si="13"/>
        <v>13.606321416152321</v>
      </c>
      <c r="Z16" s="63">
        <f t="shared" si="13"/>
        <v>0.22677202360253873</v>
      </c>
      <c r="AA16" s="63">
        <f t="shared" si="2"/>
        <v>10.992525915532832</v>
      </c>
      <c r="AB16" s="63">
        <f t="shared" si="3"/>
        <v>0.19986410755514245</v>
      </c>
      <c r="AD16" s="2">
        <f t="shared" si="4"/>
        <v>0</v>
      </c>
      <c r="AE16" s="2" t="e">
        <f t="shared" si="5"/>
        <v>#REF!</v>
      </c>
      <c r="AF16" s="64" t="e">
        <f t="shared" si="5"/>
        <v>#REF!</v>
      </c>
      <c r="AG16" s="64">
        <f t="shared" si="14"/>
        <v>-41.752177733566505</v>
      </c>
      <c r="AH16" s="64" t="e">
        <f t="shared" si="6"/>
        <v>#REF!</v>
      </c>
      <c r="AI16" s="64">
        <f t="shared" si="7"/>
        <v>2.6137955006194886</v>
      </c>
      <c r="AJ16" s="64" t="e">
        <f t="shared" si="15"/>
        <v>#REF!</v>
      </c>
      <c r="AK16" s="64" t="e">
        <f t="shared" si="8"/>
        <v>#REF!</v>
      </c>
      <c r="AL16" s="64">
        <f t="shared" si="9"/>
        <v>2.6907916047396285E-2</v>
      </c>
      <c r="AM16" s="64" t="e">
        <f t="shared" si="10"/>
        <v>#REF!</v>
      </c>
    </row>
    <row r="17" spans="1:39" x14ac:dyDescent="0.2">
      <c r="A17" s="69"/>
      <c r="B17" s="74" t="s">
        <v>63</v>
      </c>
      <c r="C17" s="74" t="s">
        <v>64</v>
      </c>
      <c r="I17" s="32">
        <f t="shared" si="16"/>
        <v>8</v>
      </c>
      <c r="J17" s="60">
        <v>0</v>
      </c>
      <c r="K17" s="60" t="e">
        <f t="shared" si="19"/>
        <v>#REF!</v>
      </c>
      <c r="L17" t="e">
        <f t="shared" si="20"/>
        <v>#REF!</v>
      </c>
      <c r="M17">
        <f t="shared" si="11"/>
        <v>50000</v>
      </c>
      <c r="N17">
        <f t="shared" si="21"/>
        <v>0.49999999999999983</v>
      </c>
      <c r="O17">
        <f t="shared" si="0"/>
        <v>24.999999999999993</v>
      </c>
      <c r="P17">
        <f t="shared" si="1"/>
        <v>0.5</v>
      </c>
      <c r="R17" s="63">
        <f>_xlfn.XLOOKUP(D2,[1]mortality_data!$A:$A,[1]mortality_data!$C:$C)*_xlfn.XLOOKUP(D2+I10,[1]mortality_data!$A:$A,[1]mortality_data!$C:$C)*_xlfn.XLOOKUP(D2+I11,[1]mortality_data!$A:$A,[1]mortality_data!$C:$C)*_xlfn.XLOOKUP(D2+I12,[1]mortality_data!$A:$A,[1]mortality_data!$C:$C)*_xlfn.XLOOKUP(D2+I13,[1]mortality_data!$A:$A,[1]mortality_data!$C:$C)*_xlfn.XLOOKUP(D2+I14,[1]mortality_data!$A:$A,[1]mortality_data!$C:$C)*_xlfn.XLOOKUP(D2+I15,[1]mortality_data!$A:$A,[1]mortality_data!$C:$C)*_xlfn.XLOOKUP(D2+I16,[1]mortality_data!$A:$A,[1]mortality_data!$B:$B)</f>
        <v>1.9935687444599375E-3</v>
      </c>
      <c r="S17" s="63">
        <f>INDEX([1]Lapse_Rate!$B$29:$AE$29,  MATCH(WLI!$D$2, [1]Lapse_Rate!$B$4:$AE$4, 0))</f>
        <v>0.11681508966242718</v>
      </c>
      <c r="T17" s="63">
        <f t="shared" si="17"/>
        <v>0.39972821511028489</v>
      </c>
      <c r="U17" s="63">
        <f t="shared" si="22"/>
        <v>7.9688567592262245E-4</v>
      </c>
      <c r="V17" s="63">
        <f t="shared" si="18"/>
        <v>4.6694287288709911E-2</v>
      </c>
      <c r="W17" s="63">
        <f t="shared" si="12"/>
        <v>0.35223704214565238</v>
      </c>
      <c r="X17" s="72"/>
      <c r="Y17" s="63">
        <f t="shared" si="13"/>
        <v>10.992525915532832</v>
      </c>
      <c r="Z17" s="63">
        <f t="shared" si="13"/>
        <v>0.19986410755514245</v>
      </c>
      <c r="AA17" s="63">
        <f t="shared" si="2"/>
        <v>8.8059260536413078</v>
      </c>
      <c r="AB17" s="63">
        <f t="shared" si="3"/>
        <v>0.17611852107282619</v>
      </c>
      <c r="AD17" s="2">
        <f t="shared" si="4"/>
        <v>0</v>
      </c>
      <c r="AE17" s="2" t="e">
        <f t="shared" si="5"/>
        <v>#REF!</v>
      </c>
      <c r="AF17" s="64" t="e">
        <f t="shared" si="5"/>
        <v>#REF!</v>
      </c>
      <c r="AG17" s="64">
        <f t="shared" si="14"/>
        <v>-39.844283796131123</v>
      </c>
      <c r="AH17" s="64" t="e">
        <f t="shared" si="6"/>
        <v>#REF!</v>
      </c>
      <c r="AI17" s="64">
        <f t="shared" si="7"/>
        <v>2.1865998618915246</v>
      </c>
      <c r="AJ17" s="64" t="e">
        <f t="shared" si="15"/>
        <v>#REF!</v>
      </c>
      <c r="AK17" s="64" t="e">
        <f t="shared" si="8"/>
        <v>#REF!</v>
      </c>
      <c r="AL17" s="64">
        <f t="shared" si="9"/>
        <v>2.3745586482316255E-2</v>
      </c>
      <c r="AM17" s="64" t="e">
        <f t="shared" si="10"/>
        <v>#REF!</v>
      </c>
    </row>
    <row r="18" spans="1:39" x14ac:dyDescent="0.2">
      <c r="A18" s="69"/>
      <c r="B18" s="74">
        <v>1</v>
      </c>
      <c r="C18" s="74">
        <v>150</v>
      </c>
      <c r="D18" t="s">
        <v>96</v>
      </c>
      <c r="I18" s="32">
        <f t="shared" si="16"/>
        <v>9</v>
      </c>
      <c r="J18" s="60">
        <v>0</v>
      </c>
      <c r="K18" s="60" t="e">
        <f t="shared" si="19"/>
        <v>#REF!</v>
      </c>
      <c r="L18" t="e">
        <f t="shared" si="20"/>
        <v>#REF!</v>
      </c>
      <c r="M18">
        <f t="shared" si="11"/>
        <v>50000</v>
      </c>
      <c r="N18">
        <f t="shared" si="21"/>
        <v>0.44999999999999984</v>
      </c>
      <c r="O18">
        <f t="shared" si="0"/>
        <v>22.499999999999993</v>
      </c>
      <c r="P18">
        <f t="shared" si="1"/>
        <v>0.5</v>
      </c>
      <c r="R18" s="63">
        <f>_xlfn.XLOOKUP(D2,[1]mortality_data!$A:$A,[1]mortality_data!$C:$C)*_xlfn.XLOOKUP(D2+I10,[1]mortality_data!$A:$A,[1]mortality_data!$C:$C)*_xlfn.XLOOKUP(D2+I11,[1]mortality_data!$A:$A,[1]mortality_data!$C:$C)*_xlfn.XLOOKUP(D2+I12,[1]mortality_data!$A:$A,[1]mortality_data!$C:$C)*_xlfn.XLOOKUP(D2+I13,[1]mortality_data!$A:$A,[1]mortality_data!$C:$C)*_xlfn.XLOOKUP(D2+I14,[1]mortality_data!$A:$A,[1]mortality_data!$C:$C)*_xlfn.XLOOKUP(D2+I15,[1]mortality_data!$A:$A,[1]mortality_data!$C:$C)*_xlfn.XLOOKUP(D2+I16,[1]mortality_data!$A:$A,[1]mortality_data!$C:$C)*_xlfn.XLOOKUP(D2+I17,[1]mortality_data!$A:$A,[1]mortality_data!$B:$B)</f>
        <v>2.1716893764708212E-3</v>
      </c>
      <c r="S18" s="63">
        <f>INDEX([1]Lapse_Rate!$B$29:$AE$29,  MATCH(WLI!$D$2, [1]Lapse_Rate!$B$4:$AE$4, 0))</f>
        <v>0.11681508966242718</v>
      </c>
      <c r="T18" s="63">
        <f t="shared" si="17"/>
        <v>0.35223704214565238</v>
      </c>
      <c r="U18" s="63">
        <f t="shared" si="22"/>
        <v>7.6494944242721814E-4</v>
      </c>
      <c r="V18" s="63">
        <f t="shared" si="18"/>
        <v>4.1146601660672522E-2</v>
      </c>
      <c r="W18" s="63">
        <f t="shared" si="12"/>
        <v>0.31032549104255264</v>
      </c>
      <c r="X18" s="72"/>
      <c r="Y18" s="63">
        <f t="shared" si="13"/>
        <v>8.8059260536413078</v>
      </c>
      <c r="Z18" s="63">
        <f t="shared" si="13"/>
        <v>0.17611852107282619</v>
      </c>
      <c r="AA18" s="63">
        <f t="shared" si="2"/>
        <v>6.9823235484574324</v>
      </c>
      <c r="AB18" s="63">
        <f t="shared" si="3"/>
        <v>0.15516274552127632</v>
      </c>
      <c r="AD18" s="2">
        <f t="shared" si="4"/>
        <v>0</v>
      </c>
      <c r="AE18" s="2" t="e">
        <f t="shared" si="5"/>
        <v>#REF!</v>
      </c>
      <c r="AF18" s="64" t="e">
        <f t="shared" si="5"/>
        <v>#REF!</v>
      </c>
      <c r="AG18" s="64">
        <f t="shared" si="14"/>
        <v>-38.247472121360907</v>
      </c>
      <c r="AH18" s="64" t="e">
        <f t="shared" si="6"/>
        <v>#REF!</v>
      </c>
      <c r="AI18" s="64">
        <f t="shared" si="7"/>
        <v>1.8236025051838753</v>
      </c>
      <c r="AJ18" s="64" t="e">
        <f t="shared" si="15"/>
        <v>#REF!</v>
      </c>
      <c r="AK18" s="64" t="e">
        <f t="shared" si="8"/>
        <v>#REF!</v>
      </c>
      <c r="AL18" s="64">
        <f t="shared" si="9"/>
        <v>2.0955775551549871E-2</v>
      </c>
      <c r="AM18" s="64" t="e">
        <f t="shared" si="10"/>
        <v>#REF!</v>
      </c>
    </row>
    <row r="19" spans="1:39" x14ac:dyDescent="0.2">
      <c r="A19" s="69"/>
      <c r="B19" s="74" t="s">
        <v>71</v>
      </c>
      <c r="C19" s="74">
        <v>25</v>
      </c>
      <c r="I19" s="32">
        <f t="shared" si="16"/>
        <v>10</v>
      </c>
      <c r="J19" s="60">
        <v>0</v>
      </c>
      <c r="K19" s="60" t="e">
        <f t="shared" si="19"/>
        <v>#REF!</v>
      </c>
      <c r="L19" t="e">
        <f t="shared" si="20"/>
        <v>#REF!</v>
      </c>
      <c r="M19">
        <f t="shared" si="11"/>
        <v>50000</v>
      </c>
      <c r="N19">
        <f t="shared" si="21"/>
        <v>0.44999999999999984</v>
      </c>
      <c r="O19">
        <f t="shared" si="0"/>
        <v>22.499999999999993</v>
      </c>
      <c r="P19">
        <f t="shared" si="1"/>
        <v>0.5</v>
      </c>
      <c r="R19" s="63">
        <f>_xlfn.XLOOKUP(D2,[1]mortality_data!$A:$A,[1]mortality_data!$C:$C)*_xlfn.XLOOKUP(D2+I10,[1]mortality_data!$A:$A,[1]mortality_data!$C:$C)*_xlfn.XLOOKUP(D2+I11,[1]mortality_data!$A:$A,[1]mortality_data!$C:$C)*_xlfn.XLOOKUP(D2+I12,[1]mortality_data!$A:$A,[1]mortality_data!$C:$C)*_xlfn.XLOOKUP(D2+I13,[1]mortality_data!$A:$A,[1]mortality_data!$C:$C)*_xlfn.XLOOKUP(D2+I14,[1]mortality_data!$A:$A,[1]mortality_data!$C:$C)*_xlfn.XLOOKUP(D2+I15,[1]mortality_data!$A:$A,[1]mortality_data!$C:$C)*_xlfn.XLOOKUP(D2+I16,[1]mortality_data!$A:$A,[1]mortality_data!$C:$C)*_xlfn.XLOOKUP(D2+I17,[1]mortality_data!$A:$A,[1]mortality_data!$C:$C)*_xlfn.XLOOKUP(D2+I18,[1]mortality_data!$A:$A,[1]mortality_data!$B:$B)</f>
        <v>2.3757945404095392E-3</v>
      </c>
      <c r="S19" s="63">
        <f>INDEX([1]Lapse_Rate!$B$29:$AE$29,  MATCH(WLI!$D$2, [1]Lapse_Rate!$B$4:$AE$4, 0))</f>
        <v>0.11681508966242718</v>
      </c>
      <c r="T19" s="63">
        <f t="shared" si="17"/>
        <v>0.31032549104255264</v>
      </c>
      <c r="U19" s="63">
        <f t="shared" si="22"/>
        <v>7.3726960736880589E-4</v>
      </c>
      <c r="V19" s="63">
        <f t="shared" si="18"/>
        <v>3.6250700060672526E-2</v>
      </c>
      <c r="W19" s="63">
        <f t="shared" si="12"/>
        <v>0.27333752137451128</v>
      </c>
      <c r="X19" s="72"/>
      <c r="Y19" s="63">
        <f t="shared" si="13"/>
        <v>6.9823235484574324</v>
      </c>
      <c r="Z19" s="63">
        <f t="shared" si="13"/>
        <v>0.15516274552127632</v>
      </c>
      <c r="AA19" s="63">
        <f t="shared" si="2"/>
        <v>6.1500942309265021</v>
      </c>
      <c r="AB19" s="63">
        <f t="shared" si="3"/>
        <v>0.13666876068725564</v>
      </c>
      <c r="AD19" s="2">
        <f t="shared" si="4"/>
        <v>0</v>
      </c>
      <c r="AE19" s="2" t="e">
        <f t="shared" si="5"/>
        <v>#REF!</v>
      </c>
      <c r="AF19" s="64" t="e">
        <f t="shared" si="5"/>
        <v>#REF!</v>
      </c>
      <c r="AG19" s="64">
        <f t="shared" si="14"/>
        <v>-36.863480368440293</v>
      </c>
      <c r="AH19" s="64" t="e">
        <f t="shared" si="6"/>
        <v>#REF!</v>
      </c>
      <c r="AI19" s="64">
        <f t="shared" si="7"/>
        <v>0.83222931753093032</v>
      </c>
      <c r="AJ19" s="64" t="e">
        <f t="shared" si="15"/>
        <v>#REF!</v>
      </c>
      <c r="AK19" s="64" t="e">
        <f t="shared" si="8"/>
        <v>#REF!</v>
      </c>
      <c r="AL19" s="64">
        <f t="shared" si="9"/>
        <v>1.8493984834020677E-2</v>
      </c>
      <c r="AM19" s="64" t="e">
        <f t="shared" si="10"/>
        <v>#REF!</v>
      </c>
    </row>
    <row r="20" spans="1:39" x14ac:dyDescent="0.2">
      <c r="A20" s="75"/>
      <c r="B20" s="76"/>
      <c r="C20" s="76"/>
      <c r="E20" t="s">
        <v>97</v>
      </c>
      <c r="F20" t="s">
        <v>98</v>
      </c>
      <c r="I20" s="32">
        <f t="shared" si="16"/>
        <v>11</v>
      </c>
      <c r="J20" s="60">
        <v>0</v>
      </c>
      <c r="K20" s="60" t="e">
        <f t="shared" si="19"/>
        <v>#REF!</v>
      </c>
      <c r="L20" t="e">
        <f t="shared" si="20"/>
        <v>#REF!</v>
      </c>
      <c r="M20">
        <f t="shared" si="11"/>
        <v>50000</v>
      </c>
      <c r="N20">
        <f t="shared" si="21"/>
        <v>0.44999999999999984</v>
      </c>
      <c r="O20">
        <f t="shared" si="0"/>
        <v>22.499999999999993</v>
      </c>
      <c r="P20">
        <f t="shared" si="1"/>
        <v>0.5</v>
      </c>
      <c r="R20" s="63">
        <f>_xlfn.XLOOKUP(D2,[1]mortality_data!$A:$A,[1]mortality_data!$C:$C)*_xlfn.XLOOKUP(D2+I10,[1]mortality_data!$A:$A,[1]mortality_data!$C:$C)*_xlfn.XLOOKUP(D2+I11,[1]mortality_data!$A:$A,[1]mortality_data!$C:$C)*_xlfn.XLOOKUP(D2+I12,[1]mortality_data!$A:$A,[1]mortality_data!$C:$C)*_xlfn.XLOOKUP(D2+I13,[1]mortality_data!$A:$A,[1]mortality_data!$C:$C)*_xlfn.XLOOKUP(D2+I14,[1]mortality_data!$A:$A,[1]mortality_data!$C:$C)*_xlfn.XLOOKUP(D2+I15,[1]mortality_data!$A:$A,[1]mortality_data!$C:$C)*_xlfn.XLOOKUP(D2+I16,[1]mortality_data!$A:$A,[1]mortality_data!$C:$C)*_xlfn.XLOOKUP(D2+I17,[1]mortality_data!$A:$A,[1]mortality_data!$C:$C)*_xlfn.XLOOKUP(D2+I18,[1]mortality_data!$A:$A,[1]mortality_data!$C:$C)*_xlfn.XLOOKUP(D2+I19,[1]mortality_data!$A:$A,[1]mortality_data!$B:$B)</f>
        <v>2.5908979665617941E-3</v>
      </c>
      <c r="S20" s="63">
        <f>INDEX([1]Lapse_Rate!$B$29:$AE$29,  MATCH(WLI!$D$2, [1]Lapse_Rate!$B$4:$AE$4, 0))</f>
        <v>0.11681508966242718</v>
      </c>
      <c r="T20" s="63">
        <f t="shared" si="17"/>
        <v>0.27333752137451128</v>
      </c>
      <c r="U20" s="63">
        <f t="shared" si="22"/>
        <v>7.0818962831426218E-4</v>
      </c>
      <c r="V20" s="63">
        <f t="shared" si="18"/>
        <v>3.1929947067469142E-2</v>
      </c>
      <c r="W20" s="63">
        <f t="shared" si="12"/>
        <v>0.24069938467872787</v>
      </c>
      <c r="X20" s="72"/>
      <c r="Y20" s="63">
        <f t="shared" si="13"/>
        <v>6.1500942309265021</v>
      </c>
      <c r="Z20" s="63">
        <f t="shared" si="13"/>
        <v>0.13666876068725564</v>
      </c>
      <c r="AA20" s="63">
        <f t="shared" si="2"/>
        <v>5.4157361552713752</v>
      </c>
      <c r="AB20" s="63">
        <f t="shared" si="3"/>
        <v>0.12034969233936393</v>
      </c>
      <c r="AD20" s="2">
        <f t="shared" si="4"/>
        <v>0</v>
      </c>
      <c r="AE20" s="2" t="e">
        <f t="shared" si="5"/>
        <v>#REF!</v>
      </c>
      <c r="AF20" s="64" t="e">
        <f t="shared" si="5"/>
        <v>#REF!</v>
      </c>
      <c r="AG20" s="64">
        <f t="shared" si="14"/>
        <v>-35.40948141571311</v>
      </c>
      <c r="AH20" s="64" t="e">
        <f t="shared" si="6"/>
        <v>#REF!</v>
      </c>
      <c r="AI20" s="64">
        <f t="shared" si="7"/>
        <v>0.7343580756551269</v>
      </c>
      <c r="AJ20" s="64" t="e">
        <f t="shared" si="15"/>
        <v>#REF!</v>
      </c>
      <c r="AK20" s="64" t="e">
        <f t="shared" si="8"/>
        <v>#REF!</v>
      </c>
      <c r="AL20" s="64">
        <f t="shared" si="9"/>
        <v>1.6319068347891708E-2</v>
      </c>
      <c r="AM20" s="64" t="e">
        <f t="shared" si="10"/>
        <v>#REF!</v>
      </c>
    </row>
    <row r="21" spans="1:39" x14ac:dyDescent="0.2">
      <c r="A21" s="69" t="s">
        <v>99</v>
      </c>
      <c r="B21" s="69"/>
      <c r="C21" s="69"/>
      <c r="E21" t="s">
        <v>100</v>
      </c>
      <c r="F21" t="s">
        <v>101</v>
      </c>
      <c r="I21" s="32">
        <f t="shared" si="16"/>
        <v>12</v>
      </c>
      <c r="J21" s="60">
        <v>0</v>
      </c>
      <c r="K21" s="60" t="e">
        <f t="shared" si="19"/>
        <v>#REF!</v>
      </c>
      <c r="L21" t="e">
        <f t="shared" si="20"/>
        <v>#REF!</v>
      </c>
      <c r="M21">
        <f t="shared" si="11"/>
        <v>50000</v>
      </c>
      <c r="N21">
        <f t="shared" si="21"/>
        <v>0.4</v>
      </c>
      <c r="O21">
        <f t="shared" si="0"/>
        <v>20</v>
      </c>
      <c r="P21">
        <f t="shared" si="1"/>
        <v>0.5</v>
      </c>
      <c r="R21" s="63">
        <f>_xlfn.XLOOKUP(D2,[1]mortality_data!$A:$A,[1]mortality_data!$C:$C)*_xlfn.XLOOKUP(D2+I10,[1]mortality_data!$A:$A,[1]mortality_data!$C:$C)*_xlfn.XLOOKUP(D2+I11,[1]mortality_data!$A:$A,[1]mortality_data!$C:$C)*_xlfn.XLOOKUP(D2+I12,[1]mortality_data!$A:$A,[1]mortality_data!$C:$C)*_xlfn.XLOOKUP(D2+I13,[1]mortality_data!$A:$A,[1]mortality_data!$C:$C)*_xlfn.XLOOKUP(D2+I14,[1]mortality_data!$A:$A,[1]mortality_data!$C:$C)*_xlfn.XLOOKUP(D2+I15,[1]mortality_data!$A:$A,[1]mortality_data!$C:$C)*_xlfn.XLOOKUP(D2+I16,[1]mortality_data!$A:$A,[1]mortality_data!$C:$C)*_xlfn.XLOOKUP(D2+I17,[1]mortality_data!$A:$A,[1]mortality_data!$C:$C)*_xlfn.XLOOKUP(D2+I18,[1]mortality_data!$A:$A,[1]mortality_data!$C:$C)*_xlfn.XLOOKUP(D2+I19,[1]mortality_data!$A:$A,[1]mortality_data!$C:$C)*_xlfn.XLOOKUP(D2+I20,[1]mortality_data!$A:$A,[1]mortality_data!$B:$B)</f>
        <v>2.8254144687609693E-3</v>
      </c>
      <c r="S21" s="63">
        <f>INDEX([1]Lapse_Rate!$B$29:$AE$29,  MATCH(WLI!$D$2, [1]Lapse_Rate!$B$4:$AE$4, 0))</f>
        <v>0.11681508966242718</v>
      </c>
      <c r="T21" s="63">
        <f t="shared" si="17"/>
        <v>0.24069938467872787</v>
      </c>
      <c r="U21" s="63">
        <f t="shared" si="22"/>
        <v>6.8007552409314013E-4</v>
      </c>
      <c r="V21" s="63">
        <f t="shared" si="18"/>
        <v>2.8117320202936648E-2</v>
      </c>
      <c r="W21" s="63">
        <f t="shared" si="12"/>
        <v>0.21190198895169809</v>
      </c>
      <c r="X21" s="72"/>
      <c r="Y21" s="63">
        <f t="shared" si="13"/>
        <v>5.4157361552713752</v>
      </c>
      <c r="Z21" s="63">
        <f t="shared" si="13"/>
        <v>0.12034969233936393</v>
      </c>
      <c r="AA21" s="63">
        <f t="shared" si="2"/>
        <v>4.2380397790339615</v>
      </c>
      <c r="AB21" s="63">
        <f t="shared" si="3"/>
        <v>0.10595099447584905</v>
      </c>
      <c r="AD21" s="2">
        <f t="shared" si="4"/>
        <v>0</v>
      </c>
      <c r="AE21" s="2" t="e">
        <f t="shared" si="5"/>
        <v>#REF!</v>
      </c>
      <c r="AF21" s="64" t="e">
        <f t="shared" si="5"/>
        <v>#REF!</v>
      </c>
      <c r="AG21" s="64">
        <f t="shared" si="14"/>
        <v>-34.003776204657008</v>
      </c>
      <c r="AH21" s="64" t="e">
        <f t="shared" si="6"/>
        <v>#REF!</v>
      </c>
      <c r="AI21" s="64">
        <f t="shared" si="7"/>
        <v>1.1776963762374137</v>
      </c>
      <c r="AJ21" s="64" t="e">
        <f t="shared" si="15"/>
        <v>#REF!</v>
      </c>
      <c r="AK21" s="64" t="e">
        <f t="shared" si="8"/>
        <v>#REF!</v>
      </c>
      <c r="AL21" s="64">
        <f t="shared" si="9"/>
        <v>1.4398697863514887E-2</v>
      </c>
      <c r="AM21" s="64" t="e">
        <f t="shared" si="10"/>
        <v>#REF!</v>
      </c>
    </row>
    <row r="22" spans="1:39" x14ac:dyDescent="0.2">
      <c r="A22" s="69" t="s">
        <v>91</v>
      </c>
      <c r="B22" s="74" t="s">
        <v>63</v>
      </c>
      <c r="C22" s="74" t="s">
        <v>64</v>
      </c>
      <c r="I22" s="32">
        <f t="shared" si="16"/>
        <v>13</v>
      </c>
      <c r="J22" s="60">
        <v>0</v>
      </c>
      <c r="K22" s="60" t="e">
        <f t="shared" si="19"/>
        <v>#REF!</v>
      </c>
      <c r="L22" t="e">
        <f t="shared" si="20"/>
        <v>#REF!</v>
      </c>
      <c r="M22">
        <f t="shared" si="11"/>
        <v>50000</v>
      </c>
      <c r="N22">
        <f t="shared" si="21"/>
        <v>0.4</v>
      </c>
      <c r="O22">
        <f t="shared" si="0"/>
        <v>20</v>
      </c>
      <c r="P22">
        <f t="shared" si="1"/>
        <v>0.5</v>
      </c>
      <c r="R22" s="63">
        <f>_xlfn.XLOOKUP(D2,[1]mortality_data!$A:$A,[1]mortality_data!$C:$C)*_xlfn.XLOOKUP(D2+I10,[1]mortality_data!$A:$A,[1]mortality_data!$C:$C)*_xlfn.XLOOKUP(D2+I11,[1]mortality_data!$A:$A,[1]mortality_data!$C:$C)*_xlfn.XLOOKUP(D2+I12,[1]mortality_data!$A:$A,[1]mortality_data!$C:$C)*_xlfn.XLOOKUP(D2+I13,[1]mortality_data!$A:$A,[1]mortality_data!$C:$C)*_xlfn.XLOOKUP(D2+I14,[1]mortality_data!$A:$A,[1]mortality_data!$C:$C)*_xlfn.XLOOKUP(D2+I15,[1]mortality_data!$A:$A,[1]mortality_data!$C:$C)*_xlfn.XLOOKUP(D2+I16,[1]mortality_data!$A:$A,[1]mortality_data!$C:$C)*_xlfn.XLOOKUP(D2+I17,[1]mortality_data!$A:$A,[1]mortality_data!$C:$C)*_xlfn.XLOOKUP(D2+I18,[1]mortality_data!$A:$A,[1]mortality_data!$C:$C)*_xlfn.XLOOKUP(D2+I19,[1]mortality_data!$A:$A,[1]mortality_data!$C:$C)*_xlfn.XLOOKUP(D2+I20,[1]mortality_data!$A:$A,[1]mortality_data!$C:$C)*_xlfn.XLOOKUP(D2+I21,[1]mortality_data!$A:$A,[1]mortality_data!$B:$B)</f>
        <v>3.0752272893699974E-3</v>
      </c>
      <c r="S22" s="63">
        <f>INDEX([1]Lapse_Rate!$B$29:$AE$29,  MATCH(WLI!$D$2, [1]Lapse_Rate!$B$4:$AE$4, 0))</f>
        <v>0.11681508966242718</v>
      </c>
      <c r="T22" s="63">
        <f t="shared" si="17"/>
        <v>0.21190198895169809</v>
      </c>
      <c r="U22" s="63">
        <f t="shared" si="22"/>
        <v>6.5164677909604167E-4</v>
      </c>
      <c r="V22" s="63">
        <f t="shared" si="18"/>
        <v>2.4753349839039266E-2</v>
      </c>
      <c r="W22" s="63">
        <f t="shared" si="12"/>
        <v>0.18649699233356279</v>
      </c>
      <c r="X22" s="72"/>
      <c r="Y22" s="63">
        <f t="shared" si="13"/>
        <v>4.2380397790339615</v>
      </c>
      <c r="Z22" s="63">
        <f t="shared" si="13"/>
        <v>0.10595099447584905</v>
      </c>
      <c r="AA22" s="63">
        <f t="shared" si="2"/>
        <v>3.7299398466712557</v>
      </c>
      <c r="AB22" s="63">
        <f t="shared" si="3"/>
        <v>9.3248496166781394E-2</v>
      </c>
      <c r="AD22" s="2">
        <f t="shared" si="4"/>
        <v>0</v>
      </c>
      <c r="AE22" s="2" t="e">
        <f t="shared" si="5"/>
        <v>#REF!</v>
      </c>
      <c r="AF22" s="64" t="e">
        <f t="shared" si="5"/>
        <v>#REF!</v>
      </c>
      <c r="AG22" s="64">
        <f t="shared" si="14"/>
        <v>-32.582338954802083</v>
      </c>
      <c r="AH22" s="64" t="e">
        <f t="shared" si="6"/>
        <v>#REF!</v>
      </c>
      <c r="AI22" s="64">
        <f t="shared" si="7"/>
        <v>0.50809993236270579</v>
      </c>
      <c r="AJ22" s="64" t="e">
        <f t="shared" si="15"/>
        <v>#REF!</v>
      </c>
      <c r="AK22" s="64" t="e">
        <f t="shared" si="8"/>
        <v>#REF!</v>
      </c>
      <c r="AL22" s="64">
        <f t="shared" si="9"/>
        <v>1.2702498309067653E-2</v>
      </c>
      <c r="AM22" s="64" t="e">
        <f t="shared" si="10"/>
        <v>#REF!</v>
      </c>
    </row>
    <row r="23" spans="1:39" x14ac:dyDescent="0.2">
      <c r="A23" s="69"/>
      <c r="B23" s="74">
        <v>1</v>
      </c>
      <c r="C23" s="74">
        <v>0.65</v>
      </c>
      <c r="I23" s="32">
        <f t="shared" si="16"/>
        <v>14</v>
      </c>
      <c r="J23" s="60">
        <v>0</v>
      </c>
      <c r="K23" s="60" t="e">
        <f t="shared" si="19"/>
        <v>#REF!</v>
      </c>
      <c r="L23" t="e">
        <f t="shared" si="20"/>
        <v>#REF!</v>
      </c>
      <c r="M23">
        <f t="shared" si="11"/>
        <v>50000</v>
      </c>
      <c r="N23">
        <f t="shared" si="21"/>
        <v>0.4</v>
      </c>
      <c r="O23">
        <f t="shared" si="0"/>
        <v>20</v>
      </c>
      <c r="P23">
        <f t="shared" si="1"/>
        <v>0.5</v>
      </c>
      <c r="R23" s="63">
        <f>_xlfn.XLOOKUP(D2,[1]mortality_data!$A:$A,[1]mortality_data!$C:$C)*_xlfn.XLOOKUP(D2+I10,[1]mortality_data!$A:$A,[1]mortality_data!$C:$C)*_xlfn.XLOOKUP(D2+I11,[1]mortality_data!$A:$A,[1]mortality_data!$C:$C)*_xlfn.XLOOKUP(D2+I12,[1]mortality_data!$A:$A,[1]mortality_data!$C:$C)*_xlfn.XLOOKUP(D2+I13,[1]mortality_data!$A:$A,[1]mortality_data!$C:$C)*_xlfn.XLOOKUP(D2+I14,[1]mortality_data!$A:$A,[1]mortality_data!$C:$C)*_xlfn.XLOOKUP(D2+I15,[1]mortality_data!$A:$A,[1]mortality_data!$C:$C)*_xlfn.XLOOKUP(D2+I16,[1]mortality_data!$A:$A,[1]mortality_data!$C:$C)*_xlfn.XLOOKUP(D2+I17,[1]mortality_data!$A:$A,[1]mortality_data!$C:$C)*_xlfn.XLOOKUP(D2+I18,[1]mortality_data!$A:$A,[1]mortality_data!$C:$C)*_xlfn.XLOOKUP(D2+I19,[1]mortality_data!$A:$A,[1]mortality_data!$C:$C)*_xlfn.XLOOKUP(D2+I20,[1]mortality_data!$A:$A,[1]mortality_data!$C:$C)*_xlfn.XLOOKUP(D2+I21,[1]mortality_data!$A:$A,[1]mortality_data!$C:$C)*_xlfn.XLOOKUP(D2+I22,[1]mortality_data!$A:$A,[1]mortality_data!$B:$B)</f>
        <v>3.3615830706880613E-3</v>
      </c>
      <c r="S23" s="63">
        <f>INDEX([1]Lapse_Rate!$B$29:$AE$29,  MATCH(WLI!$D$2, [1]Lapse_Rate!$B$4:$AE$4, 0))</f>
        <v>0.11681508966242718</v>
      </c>
      <c r="T23" s="63">
        <f t="shared" si="17"/>
        <v>0.18649699233356279</v>
      </c>
      <c r="U23" s="63">
        <f t="shared" si="22"/>
        <v>6.2692513216274588E-4</v>
      </c>
      <c r="V23" s="63">
        <f t="shared" si="18"/>
        <v>2.178566288121813E-2</v>
      </c>
      <c r="W23" s="63">
        <f t="shared" si="12"/>
        <v>0.1640844043201819</v>
      </c>
      <c r="X23" s="72"/>
      <c r="Y23" s="63">
        <f t="shared" si="13"/>
        <v>3.7299398466712557</v>
      </c>
      <c r="Z23" s="63">
        <f t="shared" si="13"/>
        <v>9.3248496166781394E-2</v>
      </c>
      <c r="AA23" s="63">
        <f t="shared" si="2"/>
        <v>3.281688086403638</v>
      </c>
      <c r="AB23" s="63">
        <f t="shared" si="3"/>
        <v>8.2042202160090949E-2</v>
      </c>
      <c r="AD23" s="2">
        <f t="shared" si="4"/>
        <v>0</v>
      </c>
      <c r="AE23" s="2" t="e">
        <f t="shared" si="5"/>
        <v>#REF!</v>
      </c>
      <c r="AF23" s="64" t="e">
        <f t="shared" si="5"/>
        <v>#REF!</v>
      </c>
      <c r="AG23" s="64">
        <f t="shared" si="14"/>
        <v>-31.346256608137296</v>
      </c>
      <c r="AH23" s="64" t="e">
        <f t="shared" si="6"/>
        <v>#REF!</v>
      </c>
      <c r="AI23" s="64">
        <f t="shared" si="7"/>
        <v>0.4482517602676177</v>
      </c>
      <c r="AJ23" s="64" t="e">
        <f t="shared" si="15"/>
        <v>#REF!</v>
      </c>
      <c r="AK23" s="64" t="e">
        <f t="shared" si="8"/>
        <v>#REF!</v>
      </c>
      <c r="AL23" s="64">
        <f t="shared" si="9"/>
        <v>1.1206294006690445E-2</v>
      </c>
      <c r="AM23" s="64" t="e">
        <f t="shared" si="10"/>
        <v>#REF!</v>
      </c>
    </row>
    <row r="24" spans="1:39" x14ac:dyDescent="0.2">
      <c r="A24" s="69"/>
      <c r="B24" s="74" t="s">
        <v>71</v>
      </c>
      <c r="C24" s="74">
        <v>0.05</v>
      </c>
      <c r="I24" s="32">
        <f t="shared" si="16"/>
        <v>15</v>
      </c>
      <c r="J24" s="60">
        <v>0</v>
      </c>
      <c r="K24" s="60" t="e">
        <f t="shared" si="19"/>
        <v>#REF!</v>
      </c>
      <c r="L24" t="e">
        <f t="shared" si="20"/>
        <v>#REF!</v>
      </c>
      <c r="M24">
        <f t="shared" si="11"/>
        <v>50000</v>
      </c>
      <c r="N24">
        <f t="shared" si="21"/>
        <v>0.4</v>
      </c>
      <c r="O24">
        <f t="shared" si="0"/>
        <v>20</v>
      </c>
      <c r="P24">
        <f t="shared" si="1"/>
        <v>0.5</v>
      </c>
      <c r="R24" s="63">
        <f>_xlfn.XLOOKUP(D2,[1]mortality_data!$A:$A,[1]mortality_data!$C:$C)*_xlfn.XLOOKUP(D2+I10,[1]mortality_data!$A:$A,[1]mortality_data!$C:$C)*_xlfn.XLOOKUP(D2+I11,[1]mortality_data!$A:$A,[1]mortality_data!$C:$C)*_xlfn.XLOOKUP(D2+I12,[1]mortality_data!$A:$A,[1]mortality_data!$C:$C)*_xlfn.XLOOKUP(D2+I13,[1]mortality_data!$A:$A,[1]mortality_data!$C:$C)*_xlfn.XLOOKUP(D2+I14,[1]mortality_data!$A:$A,[1]mortality_data!$C:$C)*_xlfn.XLOOKUP(D2+I15,[1]mortality_data!$A:$A,[1]mortality_data!$C:$C)*_xlfn.XLOOKUP(D2+I16,[1]mortality_data!$A:$A,[1]mortality_data!$C:$C)*_xlfn.XLOOKUP(D2+I17,[1]mortality_data!$A:$A,[1]mortality_data!$C:$C)*_xlfn.XLOOKUP(D2+I18,[1]mortality_data!$A:$A,[1]mortality_data!$C:$C)*_xlfn.XLOOKUP(D2+I19,[1]mortality_data!$A:$A,[1]mortality_data!$C:$C)*_xlfn.XLOOKUP(D2+I20,[1]mortality_data!$A:$A,[1]mortality_data!$C:$C)*_xlfn.XLOOKUP(D2+I21,[1]mortality_data!$A:$A,[1]mortality_data!$C:$C)*_xlfn.XLOOKUP(D2+I22,[1]mortality_data!$A:$A,[1]mortality_data!$C:$C)*_xlfn.XLOOKUP(D2+I23,[1]mortality_data!$A:$A,[1]mortality_data!$B:$B)</f>
        <v>3.6867399128238357E-3</v>
      </c>
      <c r="S24" s="63">
        <f>INDEX([1]Lapse_Rate!$B$29:$AE$29,  MATCH(WLI!$D$2, [1]Lapse_Rate!$B$4:$AE$4, 0))</f>
        <v>0.11681508966242718</v>
      </c>
      <c r="T24" s="63">
        <f t="shared" si="17"/>
        <v>0.1640844043201819</v>
      </c>
      <c r="U24" s="63">
        <f t="shared" si="22"/>
        <v>6.0493652247913844E-4</v>
      </c>
      <c r="V24" s="63">
        <f t="shared" si="18"/>
        <v>1.9167534402868003E-2</v>
      </c>
      <c r="W24" s="63">
        <f t="shared" si="12"/>
        <v>0.14431193339483475</v>
      </c>
      <c r="X24" s="72"/>
      <c r="Y24" s="63">
        <f t="shared" si="13"/>
        <v>3.281688086403638</v>
      </c>
      <c r="Z24" s="63">
        <f t="shared" si="13"/>
        <v>8.2042202160090949E-2</v>
      </c>
      <c r="AA24" s="63">
        <f t="shared" si="2"/>
        <v>2.8862386678966949</v>
      </c>
      <c r="AB24" s="63">
        <f t="shared" si="3"/>
        <v>7.2155966697417376E-2</v>
      </c>
      <c r="AD24" s="2">
        <f t="shared" si="4"/>
        <v>0</v>
      </c>
      <c r="AE24" s="2" t="e">
        <f t="shared" si="5"/>
        <v>#REF!</v>
      </c>
      <c r="AF24" s="64" t="e">
        <f t="shared" si="5"/>
        <v>#REF!</v>
      </c>
      <c r="AG24" s="64">
        <f t="shared" si="14"/>
        <v>-30.246826123956922</v>
      </c>
      <c r="AH24" s="64" t="e">
        <f t="shared" si="6"/>
        <v>#REF!</v>
      </c>
      <c r="AI24" s="64">
        <f t="shared" si="7"/>
        <v>0.39544941850694304</v>
      </c>
      <c r="AJ24" s="64" t="e">
        <f t="shared" si="15"/>
        <v>#REF!</v>
      </c>
      <c r="AK24" s="64" t="e">
        <f t="shared" si="8"/>
        <v>#REF!</v>
      </c>
      <c r="AL24" s="64">
        <f t="shared" si="9"/>
        <v>9.8862354626735732E-3</v>
      </c>
      <c r="AM24" s="64" t="e">
        <f t="shared" si="10"/>
        <v>#REF!</v>
      </c>
    </row>
    <row r="25" spans="1:39" x14ac:dyDescent="0.2">
      <c r="I25" s="32">
        <f t="shared" si="16"/>
        <v>16</v>
      </c>
      <c r="J25" s="60">
        <v>0</v>
      </c>
      <c r="K25" s="60" t="e">
        <f t="shared" si="19"/>
        <v>#REF!</v>
      </c>
      <c r="L25" t="e">
        <f t="shared" si="20"/>
        <v>#REF!</v>
      </c>
      <c r="M25">
        <f t="shared" si="11"/>
        <v>50000</v>
      </c>
      <c r="N25">
        <f t="shared" si="21"/>
        <v>0.35000000000000003</v>
      </c>
      <c r="O25">
        <f t="shared" si="0"/>
        <v>17.5</v>
      </c>
      <c r="P25">
        <f t="shared" si="1"/>
        <v>0.5</v>
      </c>
      <c r="R25" s="63">
        <f>_xlfn.XLOOKUP(D2,[1]mortality_data!$A:$A,[1]mortality_data!$C:$C)*_xlfn.XLOOKUP(D2+I10,[1]mortality_data!$A:$A,[1]mortality_data!$C:$C)*_xlfn.XLOOKUP(D2+I11,[1]mortality_data!$A:$A,[1]mortality_data!$C:$C)*_xlfn.XLOOKUP(D2+I12,[1]mortality_data!$A:$A,[1]mortality_data!$C:$C)*_xlfn.XLOOKUP(D2+I13,[1]mortality_data!$A:$A,[1]mortality_data!$C:$C)*_xlfn.XLOOKUP(D2+I14,[1]mortality_data!$A:$A,[1]mortality_data!$C:$C)*_xlfn.XLOOKUP(D2+I15,[1]mortality_data!$A:$A,[1]mortality_data!$C:$C)*_xlfn.XLOOKUP(D2+I16,[1]mortality_data!$A:$A,[1]mortality_data!$C:$C)*_xlfn.XLOOKUP(D2+I17,[1]mortality_data!$A:$A,[1]mortality_data!$C:$C)*_xlfn.XLOOKUP(D2+I18,[1]mortality_data!$A:$A,[1]mortality_data!$C:$C)*_xlfn.XLOOKUP(D2+I19,[1]mortality_data!$A:$A,[1]mortality_data!$C:$C)*_xlfn.XLOOKUP(D2+I20,[1]mortality_data!$A:$A,[1]mortality_data!$C:$C)*_xlfn.XLOOKUP(D2+I21,[1]mortality_data!$A:$A,[1]mortality_data!$C:$C)*_xlfn.XLOOKUP(D2+I22,[1]mortality_data!$A:$A,[1]mortality_data!$C:$C)*_xlfn.XLOOKUP(D2+I23,[1]mortality_data!$A:$A,[1]mortality_data!$C:$C)*_xlfn.XLOOKUP(D2+I24,[1]mortality_data!$A:$A,[1]mortality_data!$B:$B)</f>
        <v>4.0427010440242366E-3</v>
      </c>
      <c r="S25" s="63">
        <f>INDEX([1]Lapse_Rate!$B$29:$AE$29,  MATCH(WLI!$D$2, [1]Lapse_Rate!$B$4:$AE$4, 0))</f>
        <v>0.11681508966242718</v>
      </c>
      <c r="T25" s="63">
        <f t="shared" si="17"/>
        <v>0.14431193339483475</v>
      </c>
      <c r="U25" s="63">
        <f t="shared" si="22"/>
        <v>5.8341000380045455E-4</v>
      </c>
      <c r="V25" s="63">
        <f t="shared" si="18"/>
        <v>1.6857811438875842E-2</v>
      </c>
      <c r="W25" s="63">
        <f t="shared" si="12"/>
        <v>0.12687071195215846</v>
      </c>
      <c r="X25" s="63"/>
      <c r="Y25" s="63">
        <f t="shared" si="13"/>
        <v>2.8862386678966949</v>
      </c>
      <c r="Z25" s="63">
        <f t="shared" si="13"/>
        <v>7.2155966697417376E-2</v>
      </c>
      <c r="AA25" s="63">
        <f t="shared" si="2"/>
        <v>2.2202374591627732</v>
      </c>
      <c r="AB25" s="63">
        <f t="shared" si="3"/>
        <v>6.343535597607923E-2</v>
      </c>
      <c r="AD25" s="2">
        <f t="shared" si="4"/>
        <v>0</v>
      </c>
      <c r="AE25" s="2" t="e">
        <f t="shared" si="5"/>
        <v>#REF!</v>
      </c>
      <c r="AF25" s="64" t="e">
        <f t="shared" si="5"/>
        <v>#REF!</v>
      </c>
      <c r="AG25" s="64">
        <f t="shared" si="14"/>
        <v>-29.170500190022729</v>
      </c>
      <c r="AH25" s="64" t="e">
        <f t="shared" si="6"/>
        <v>#REF!</v>
      </c>
      <c r="AI25" s="64">
        <f t="shared" si="7"/>
        <v>0.66600120873392177</v>
      </c>
      <c r="AJ25" s="64" t="e">
        <f t="shared" si="15"/>
        <v>#REF!</v>
      </c>
      <c r="AK25" s="64" t="e">
        <f t="shared" si="8"/>
        <v>#REF!</v>
      </c>
      <c r="AL25" s="64">
        <f t="shared" si="9"/>
        <v>8.7206107213381456E-3</v>
      </c>
      <c r="AM25" s="64" t="e">
        <f t="shared" si="10"/>
        <v>#REF!</v>
      </c>
    </row>
    <row r="26" spans="1:39" x14ac:dyDescent="0.2">
      <c r="I26" s="32">
        <f t="shared" si="16"/>
        <v>17</v>
      </c>
      <c r="J26" s="60">
        <v>0</v>
      </c>
      <c r="K26" s="60" t="e">
        <f t="shared" si="19"/>
        <v>#REF!</v>
      </c>
      <c r="L26" t="e">
        <f t="shared" si="20"/>
        <v>#REF!</v>
      </c>
      <c r="M26">
        <f t="shared" si="11"/>
        <v>50000</v>
      </c>
      <c r="N26">
        <f t="shared" si="21"/>
        <v>0.35000000000000003</v>
      </c>
      <c r="O26">
        <f t="shared" si="0"/>
        <v>17.5</v>
      </c>
      <c r="P26">
        <f t="shared" si="1"/>
        <v>0.5</v>
      </c>
      <c r="R26" s="63">
        <f>_xlfn.XLOOKUP(D2,[1]mortality_data!$A:$A,[1]mortality_data!$C:$C)*_xlfn.XLOOKUP(D2+I10,[1]mortality_data!$A:$A,[1]mortality_data!$C:$C)*_xlfn.XLOOKUP(D2+I11,[1]mortality_data!$A:$A,[1]mortality_data!$C:$C)*_xlfn.XLOOKUP(D2+I12,[1]mortality_data!$A:$A,[1]mortality_data!$C:$C)*_xlfn.XLOOKUP(D2+I13,[1]mortality_data!$A:$A,[1]mortality_data!$C:$C)*_xlfn.XLOOKUP(D2+I14,[1]mortality_data!$A:$A,[1]mortality_data!$C:$C)*_xlfn.XLOOKUP(D2+I15,[1]mortality_data!$A:$A,[1]mortality_data!$C:$C)*_xlfn.XLOOKUP(D2+I16,[1]mortality_data!$A:$A,[1]mortality_data!$C:$C)*_xlfn.XLOOKUP(D2+I17,[1]mortality_data!$A:$A,[1]mortality_data!$C:$C)*_xlfn.XLOOKUP(D2+I18,[1]mortality_data!$A:$A,[1]mortality_data!$C:$C)*_xlfn.XLOOKUP(D2+I19,[1]mortality_data!$A:$A,[1]mortality_data!$C:$C)*_xlfn.XLOOKUP(D2+I20,[1]mortality_data!$A:$A,[1]mortality_data!$C:$C)*_xlfn.XLOOKUP(D2+I21,[1]mortality_data!$A:$A,[1]mortality_data!$C:$C)*_xlfn.XLOOKUP(D2+I22,[1]mortality_data!$A:$A,[1]mortality_data!$C:$C)*_xlfn.XLOOKUP(D2+I23,[1]mortality_data!$A:$A,[1]mortality_data!$C:$C)*_xlfn.XLOOKUP(D2+I24,[1]mortality_data!$A:$A,[1]mortality_data!$C:$C)*_xlfn.XLOOKUP(D2+I25,[1]mortality_data!$A:$A,[1]mortality_data!$B:$B)</f>
        <v>4.4453703124179601E-3</v>
      </c>
      <c r="S26" s="63">
        <f>INDEX([1]Lapse_Rate!$B$29:$AE$29,  MATCH(WLI!$D$2, [1]Lapse_Rate!$B$4:$AE$4, 0))</f>
        <v>0.11681508966242718</v>
      </c>
      <c r="T26" s="63">
        <f t="shared" si="17"/>
        <v>0.12687071195215846</v>
      </c>
      <c r="U26" s="63">
        <f t="shared" si="22"/>
        <v>5.6398729642745567E-4</v>
      </c>
      <c r="V26" s="63">
        <f t="shared" si="18"/>
        <v>1.4820413592227362E-2</v>
      </c>
      <c r="W26" s="63">
        <f t="shared" si="12"/>
        <v>0.11148631106350364</v>
      </c>
      <c r="X26" s="63"/>
      <c r="Y26" s="63">
        <f t="shared" si="13"/>
        <v>2.2202374591627732</v>
      </c>
      <c r="Z26" s="63">
        <f t="shared" si="13"/>
        <v>6.343535597607923E-2</v>
      </c>
      <c r="AA26" s="63">
        <f t="shared" si="2"/>
        <v>1.9510104436113136</v>
      </c>
      <c r="AB26" s="63">
        <f t="shared" si="3"/>
        <v>5.5743155531751819E-2</v>
      </c>
      <c r="AD26" s="2">
        <f t="shared" si="4"/>
        <v>0</v>
      </c>
      <c r="AE26" s="2" t="e">
        <f t="shared" si="5"/>
        <v>#REF!</v>
      </c>
      <c r="AF26" s="64" t="e">
        <f t="shared" si="5"/>
        <v>#REF!</v>
      </c>
      <c r="AG26" s="64">
        <f t="shared" si="14"/>
        <v>-28.199364821372782</v>
      </c>
      <c r="AH26" s="64" t="e">
        <f t="shared" si="6"/>
        <v>#REF!</v>
      </c>
      <c r="AI26" s="64">
        <f t="shared" si="7"/>
        <v>0.26922701555145956</v>
      </c>
      <c r="AJ26" s="64" t="e">
        <f t="shared" si="15"/>
        <v>#REF!</v>
      </c>
      <c r="AK26" s="64" t="e">
        <f t="shared" si="8"/>
        <v>#REF!</v>
      </c>
      <c r="AL26" s="64">
        <f t="shared" si="9"/>
        <v>7.6922004443274114E-3</v>
      </c>
      <c r="AM26" s="64" t="e">
        <f t="shared" si="10"/>
        <v>#REF!</v>
      </c>
    </row>
    <row r="27" spans="1:39" x14ac:dyDescent="0.2">
      <c r="A27" s="69" t="s">
        <v>102</v>
      </c>
      <c r="B27" s="74" t="s">
        <v>63</v>
      </c>
      <c r="C27" s="74" t="s">
        <v>64</v>
      </c>
      <c r="I27" s="32">
        <f t="shared" si="16"/>
        <v>18</v>
      </c>
      <c r="J27" s="60">
        <v>0</v>
      </c>
      <c r="K27" s="60" t="e">
        <f t="shared" si="19"/>
        <v>#REF!</v>
      </c>
      <c r="L27" t="e">
        <f t="shared" si="20"/>
        <v>#REF!</v>
      </c>
      <c r="M27">
        <f t="shared" si="11"/>
        <v>50000</v>
      </c>
      <c r="N27">
        <f t="shared" si="21"/>
        <v>0.3</v>
      </c>
      <c r="O27">
        <f t="shared" si="0"/>
        <v>15</v>
      </c>
      <c r="P27">
        <f t="shared" si="1"/>
        <v>0.5</v>
      </c>
      <c r="R27" s="63">
        <f>_xlfn.XLOOKUP(D2,[1]mortality_data!$A:$A,[1]mortality_data!$C:$C)*_xlfn.XLOOKUP(D2+I10,[1]mortality_data!$A:$A,[1]mortality_data!$C:$C)*_xlfn.XLOOKUP(D2+I11,[1]mortality_data!$A:$A,[1]mortality_data!$C:$C)*_xlfn.XLOOKUP(D2+I12,[1]mortality_data!$A:$A,[1]mortality_data!$C:$C)*_xlfn.XLOOKUP(D2+I13,[1]mortality_data!$A:$A,[1]mortality_data!$C:$C)*_xlfn.XLOOKUP(D2+I14,[1]mortality_data!$A:$A,[1]mortality_data!$C:$C)*_xlfn.XLOOKUP(D2+I15,[1]mortality_data!$A:$A,[1]mortality_data!$C:$C)*_xlfn.XLOOKUP(D2+I16,[1]mortality_data!$A:$A,[1]mortality_data!$C:$C)*_xlfn.XLOOKUP(D2+I17,[1]mortality_data!$A:$A,[1]mortality_data!$C:$C)*_xlfn.XLOOKUP(D2+I18,[1]mortality_data!$A:$A,[1]mortality_data!$C:$C)*_xlfn.XLOOKUP(D2+I19,[1]mortality_data!$A:$A,[1]mortality_data!$C:$C)*_xlfn.XLOOKUP(D2+I20,[1]mortality_data!$A:$A,[1]mortality_data!$C:$C)*_xlfn.XLOOKUP(D2+I21,[1]mortality_data!$A:$A,[1]mortality_data!$C:$C)*_xlfn.XLOOKUP(D2+I22,[1]mortality_data!$A:$A,[1]mortality_data!$C:$C)*_xlfn.XLOOKUP(D2+I23,[1]mortality_data!$A:$A,[1]mortality_data!$C:$C)*_xlfn.XLOOKUP(D2+I24,[1]mortality_data!$A:$A,[1]mortality_data!$C:$C)*_xlfn.XLOOKUP(D2+I25,[1]mortality_data!$A:$A,[1]mortality_data!$C:$C)*_xlfn.XLOOKUP(D2+I26,[1]mortality_data!$A:$A,[1]mortality_data!$B:$B)</f>
        <v>4.897275886137851E-3</v>
      </c>
      <c r="S27" s="63">
        <f>INDEX([1]Lapse_Rate!$B$29:$AE$29,  MATCH(WLI!$D$2, [1]Lapse_Rate!$B$4:$AE$4, 0))</f>
        <v>0.11681508966242718</v>
      </c>
      <c r="T27" s="63">
        <f t="shared" si="17"/>
        <v>0.11148631106350364</v>
      </c>
      <c r="U27" s="63">
        <f t="shared" si="22"/>
        <v>5.4597922280575988E-4</v>
      </c>
      <c r="V27" s="63">
        <f t="shared" si="18"/>
        <v>1.3023283423016424E-2</v>
      </c>
      <c r="W27" s="63">
        <f t="shared" si="12"/>
        <v>9.7917048417681452E-2</v>
      </c>
      <c r="X27" s="63"/>
      <c r="Y27" s="63">
        <f t="shared" si="13"/>
        <v>1.9510104436113136</v>
      </c>
      <c r="Z27" s="63">
        <f t="shared" si="13"/>
        <v>5.5743155531751819E-2</v>
      </c>
      <c r="AA27" s="63">
        <f t="shared" si="2"/>
        <v>1.4687557262652218</v>
      </c>
      <c r="AB27" s="63">
        <f t="shared" si="3"/>
        <v>4.8958524208840726E-2</v>
      </c>
      <c r="AD27" s="2">
        <f t="shared" si="4"/>
        <v>0</v>
      </c>
      <c r="AE27" s="2" t="e">
        <f t="shared" si="5"/>
        <v>#REF!</v>
      </c>
      <c r="AF27" s="64" t="e">
        <f t="shared" si="5"/>
        <v>#REF!</v>
      </c>
      <c r="AG27" s="64">
        <f t="shared" si="14"/>
        <v>-27.298961140287993</v>
      </c>
      <c r="AH27" s="64" t="e">
        <f t="shared" si="6"/>
        <v>#REF!</v>
      </c>
      <c r="AI27" s="64">
        <f t="shared" si="7"/>
        <v>0.48225471734609182</v>
      </c>
      <c r="AJ27" s="64" t="e">
        <f t="shared" si="15"/>
        <v>#REF!</v>
      </c>
      <c r="AK27" s="64" t="e">
        <f t="shared" si="8"/>
        <v>#REF!</v>
      </c>
      <c r="AL27" s="64">
        <f t="shared" si="9"/>
        <v>6.784631322911093E-3</v>
      </c>
      <c r="AM27" s="64" t="e">
        <f t="shared" si="10"/>
        <v>#REF!</v>
      </c>
    </row>
    <row r="28" spans="1:39" x14ac:dyDescent="0.2">
      <c r="A28" s="69" t="s">
        <v>103</v>
      </c>
      <c r="B28" s="74">
        <v>1</v>
      </c>
      <c r="C28" s="74">
        <v>200</v>
      </c>
      <c r="I28" s="32">
        <f t="shared" si="16"/>
        <v>19</v>
      </c>
      <c r="J28" s="60">
        <v>0</v>
      </c>
      <c r="K28" s="60" t="e">
        <f t="shared" si="19"/>
        <v>#REF!</v>
      </c>
      <c r="L28" t="e">
        <f t="shared" si="20"/>
        <v>#REF!</v>
      </c>
      <c r="M28">
        <f t="shared" si="11"/>
        <v>50000</v>
      </c>
      <c r="N28">
        <f t="shared" si="21"/>
        <v>0.2</v>
      </c>
      <c r="O28">
        <f t="shared" si="0"/>
        <v>10</v>
      </c>
      <c r="P28">
        <f t="shared" si="1"/>
        <v>0.5</v>
      </c>
      <c r="R28" s="63">
        <f>_xlfn.XLOOKUP(D2,[1]mortality_data!$A:$A,[1]mortality_data!$C:$C)*_xlfn.XLOOKUP(D2+I10,[1]mortality_data!$A:$A,[1]mortality_data!$C:$C)*_xlfn.XLOOKUP(D2+I11,[1]mortality_data!$A:$A,[1]mortality_data!$C:$C)*_xlfn.XLOOKUP(D2+I12,[1]mortality_data!$A:$A,[1]mortality_data!$C:$C)*_xlfn.XLOOKUP(D2+I13,[1]mortality_data!$A:$A,[1]mortality_data!$C:$C)*_xlfn.XLOOKUP(D2+I14,[1]mortality_data!$A:$A,[1]mortality_data!$C:$C)*_xlfn.XLOOKUP(D2+I15,[1]mortality_data!$A:$A,[1]mortality_data!$C:$C)*_xlfn.XLOOKUP(D2+I16,[1]mortality_data!$A:$A,[1]mortality_data!$C:$C)*_xlfn.XLOOKUP(D2+I17,[1]mortality_data!$A:$A,[1]mortality_data!$C:$C)*_xlfn.XLOOKUP(D2+I18,[1]mortality_data!$A:$A,[1]mortality_data!$C:$C)*_xlfn.XLOOKUP(D2+I19,[1]mortality_data!$A:$A,[1]mortality_data!$C:$C)*_xlfn.XLOOKUP(D2+I20,[1]mortality_data!$A:$A,[1]mortality_data!$C:$C)*_xlfn.XLOOKUP(D2+I21,[1]mortality_data!$A:$A,[1]mortality_data!$C:$C)*_xlfn.XLOOKUP(D2+I22,[1]mortality_data!$A:$A,[1]mortality_data!$C:$C)*_xlfn.XLOOKUP(D2+I23,[1]mortality_data!$A:$A,[1]mortality_data!$C:$C)*_xlfn.XLOOKUP(D2+I24,[1]mortality_data!$A:$A,[1]mortality_data!$C:$C)*_xlfn.XLOOKUP(D2+I25,[1]mortality_data!$A:$A,[1]mortality_data!$C:$C)*_xlfn.XLOOKUP(D2+I26,[1]mortality_data!$A:$A,[1]mortality_data!$C:$C)*_xlfn.XLOOKUP(D2+I27,[1]mortality_data!$A:$A,[1]mortality_data!$B:$B)</f>
        <v>5.3631492423140631E-3</v>
      </c>
      <c r="S28" s="63">
        <f>INDEX([1]Lapse_Rate!$B$29:$AE$29,  MATCH(WLI!$D$2, [1]Lapse_Rate!$B$4:$AE$4, 0))</f>
        <v>0.11681508966242718</v>
      </c>
      <c r="T28" s="63">
        <f t="shared" si="17"/>
        <v>9.7917048417681452E-2</v>
      </c>
      <c r="U28" s="63">
        <f t="shared" si="22"/>
        <v>5.2514374403091766E-4</v>
      </c>
      <c r="V28" s="63">
        <f t="shared" si="18"/>
        <v>1.1438188790391683E-2</v>
      </c>
      <c r="W28" s="63">
        <f t="shared" si="12"/>
        <v>8.5953715883258855E-2</v>
      </c>
      <c r="X28" s="63"/>
      <c r="Y28" s="63">
        <f t="shared" si="13"/>
        <v>1.4687557262652218</v>
      </c>
      <c r="Z28" s="63">
        <f t="shared" si="13"/>
        <v>4.8958524208840726E-2</v>
      </c>
      <c r="AA28" s="63">
        <f t="shared" si="2"/>
        <v>0.85953715883258852</v>
      </c>
      <c r="AB28" s="63">
        <f t="shared" si="3"/>
        <v>4.2976857941629427E-2</v>
      </c>
      <c r="AD28" s="2">
        <f t="shared" si="4"/>
        <v>0</v>
      </c>
      <c r="AE28" s="2" t="e">
        <f t="shared" si="5"/>
        <v>#REF!</v>
      </c>
      <c r="AF28" s="64" t="e">
        <f t="shared" si="5"/>
        <v>#REF!</v>
      </c>
      <c r="AG28" s="64">
        <f t="shared" si="14"/>
        <v>-26.257187201545882</v>
      </c>
      <c r="AH28" s="64" t="e">
        <f t="shared" si="6"/>
        <v>#REF!</v>
      </c>
      <c r="AI28" s="64">
        <f t="shared" si="7"/>
        <v>0.60921856743263325</v>
      </c>
      <c r="AJ28" s="64" t="e">
        <f t="shared" si="15"/>
        <v>#REF!</v>
      </c>
      <c r="AK28" s="64" t="e">
        <f t="shared" si="8"/>
        <v>#REF!</v>
      </c>
      <c r="AL28" s="64">
        <f t="shared" si="9"/>
        <v>5.9816662672112983E-3</v>
      </c>
      <c r="AM28" s="64" t="e">
        <f t="shared" si="10"/>
        <v>#REF!</v>
      </c>
    </row>
    <row r="29" spans="1:39" x14ac:dyDescent="0.2">
      <c r="A29" s="69"/>
      <c r="B29" s="74" t="s">
        <v>71</v>
      </c>
      <c r="C29" s="74">
        <v>100</v>
      </c>
      <c r="I29" s="32">
        <f t="shared" si="16"/>
        <v>20</v>
      </c>
      <c r="J29" s="60">
        <v>0</v>
      </c>
      <c r="K29" s="60" t="e">
        <f t="shared" si="19"/>
        <v>#REF!</v>
      </c>
      <c r="L29" t="e">
        <f t="shared" si="20"/>
        <v>#REF!</v>
      </c>
      <c r="M29">
        <f t="shared" si="11"/>
        <v>50000</v>
      </c>
      <c r="N29">
        <f t="shared" si="21"/>
        <v>0.1</v>
      </c>
      <c r="O29">
        <f t="shared" si="0"/>
        <v>5</v>
      </c>
      <c r="P29">
        <f t="shared" si="1"/>
        <v>0.5</v>
      </c>
      <c r="R29" s="63">
        <f>_xlfn.XLOOKUP(D2,[1]mortality_data!$A:$A,[1]mortality_data!$C:$C)*_xlfn.XLOOKUP(D2+I10,[1]mortality_data!$A:$A,[1]mortality_data!$C:$C)*_xlfn.XLOOKUP(D2+I11,[1]mortality_data!$A:$A,[1]mortality_data!$C:$C)*_xlfn.XLOOKUP(D2+I12,[1]mortality_data!$A:$A,[1]mortality_data!$C:$C)*_xlfn.XLOOKUP(D2+I13,[1]mortality_data!$A:$A,[1]mortality_data!$C:$C)*_xlfn.XLOOKUP(D2+I14,[1]mortality_data!$A:$A,[1]mortality_data!$C:$C)*_xlfn.XLOOKUP(D2+I15,[1]mortality_data!$A:$A,[1]mortality_data!$C:$C)*_xlfn.XLOOKUP(D2+I16,[1]mortality_data!$A:$A,[1]mortality_data!$C:$C)*_xlfn.XLOOKUP(D2+I17,[1]mortality_data!$A:$A,[1]mortality_data!$C:$C)*_xlfn.XLOOKUP(D2+I18,[1]mortality_data!$A:$A,[1]mortality_data!$C:$C)*_xlfn.XLOOKUP(D2+I19,[1]mortality_data!$A:$A,[1]mortality_data!$C:$C)*_xlfn.XLOOKUP(D2+I20,[1]mortality_data!$A:$A,[1]mortality_data!$C:$C)*_xlfn.XLOOKUP(D2+I21,[1]mortality_data!$A:$A,[1]mortality_data!$C:$C)*_xlfn.XLOOKUP(D2+I22,[1]mortality_data!$A:$A,[1]mortality_data!$C:$C)*_xlfn.XLOOKUP(D2+I23,[1]mortality_data!$A:$A,[1]mortality_data!$C:$C)*_xlfn.XLOOKUP(D2+I24,[1]mortality_data!$A:$A,[1]mortality_data!$C:$C)*_xlfn.XLOOKUP(D2+I25,[1]mortality_data!$A:$A,[1]mortality_data!$C:$C)*_xlfn.XLOOKUP(D2+I26,[1]mortality_data!$A:$A,[1]mortality_data!$C:$C)*_xlfn.XLOOKUP(D2+I27,[1]mortality_data!$A:$A,[1]mortality_data!$C:$C)*_xlfn.XLOOKUP(D2+I28,[1]mortality_data!$A:$A,[1]mortality_data!$B:$B)</f>
        <v>5.8552090157856845E-3</v>
      </c>
      <c r="S29" s="63">
        <f>INDEX([1]Lapse_Rate!$B$29:$AE$29,  MATCH(WLI!$D$2, [1]Lapse_Rate!$B$4:$AE$4, 0))</f>
        <v>0.11681508966242718</v>
      </c>
      <c r="T29" s="63">
        <f t="shared" si="17"/>
        <v>8.5953715883258855E-2</v>
      </c>
      <c r="U29" s="63">
        <f t="shared" si="22"/>
        <v>5.0327697217993842E-4</v>
      </c>
      <c r="V29" s="63">
        <f t="shared" si="18"/>
        <v>1.0040691027721675E-2</v>
      </c>
      <c r="W29" s="63">
        <f t="shared" si="12"/>
        <v>7.5409747883357248E-2</v>
      </c>
      <c r="X29" s="63"/>
      <c r="Y29" s="63">
        <f t="shared" si="13"/>
        <v>0.85953715883258852</v>
      </c>
      <c r="Z29" s="63">
        <f t="shared" si="13"/>
        <v>4.2976857941629427E-2</v>
      </c>
      <c r="AA29" s="63">
        <f t="shared" si="2"/>
        <v>0.37704873941678624</v>
      </c>
      <c r="AB29" s="63">
        <f t="shared" si="3"/>
        <v>3.7704873941678624E-2</v>
      </c>
      <c r="AD29" s="2">
        <f t="shared" si="4"/>
        <v>0</v>
      </c>
      <c r="AE29" s="2" t="e">
        <f t="shared" si="5"/>
        <v>#REF!</v>
      </c>
      <c r="AF29" s="64" t="e">
        <f t="shared" si="5"/>
        <v>#REF!</v>
      </c>
      <c r="AG29" s="64">
        <f t="shared" si="14"/>
        <v>-25.163848608996922</v>
      </c>
      <c r="AH29" s="64" t="e">
        <f t="shared" si="6"/>
        <v>#REF!</v>
      </c>
      <c r="AI29" s="64">
        <f t="shared" si="7"/>
        <v>0.48248841941580228</v>
      </c>
      <c r="AJ29" s="64" t="e">
        <f t="shared" si="15"/>
        <v>#REF!</v>
      </c>
      <c r="AK29" s="64" t="e">
        <f t="shared" si="8"/>
        <v>#REF!</v>
      </c>
      <c r="AL29" s="64">
        <f t="shared" si="9"/>
        <v>5.2719839999508036E-3</v>
      </c>
      <c r="AM29" s="64" t="e">
        <f t="shared" si="10"/>
        <v>#REF!</v>
      </c>
    </row>
    <row r="30" spans="1:39" x14ac:dyDescent="0.2">
      <c r="A30" s="69" t="s">
        <v>104</v>
      </c>
      <c r="B30" s="74">
        <v>1</v>
      </c>
      <c r="C30" s="74">
        <v>200</v>
      </c>
      <c r="I30" s="32">
        <f>I29+1</f>
        <v>21</v>
      </c>
      <c r="N30" s="23"/>
    </row>
    <row r="31" spans="1:39" x14ac:dyDescent="0.2">
      <c r="A31" s="69"/>
      <c r="B31" s="74" t="s">
        <v>71</v>
      </c>
      <c r="C31" s="74">
        <v>100</v>
      </c>
      <c r="I31" s="32">
        <f t="shared" si="16"/>
        <v>22</v>
      </c>
      <c r="AC31" s="55" t="s">
        <v>73</v>
      </c>
      <c r="AD31" s="64" t="e">
        <f t="shared" ref="AD31:AM31" si="23">SUM(AD9:AD29)</f>
        <v>#REF!</v>
      </c>
      <c r="AE31" s="64" t="e">
        <f t="shared" si="23"/>
        <v>#REF!</v>
      </c>
      <c r="AF31" s="64" t="e">
        <f t="shared" si="23"/>
        <v>#REF!</v>
      </c>
      <c r="AG31" s="64">
        <f t="shared" si="23"/>
        <v>-750.14289319753755</v>
      </c>
      <c r="AH31" s="64" t="e">
        <f t="shared" si="23"/>
        <v>#REF!</v>
      </c>
      <c r="AI31" s="64">
        <f t="shared" si="23"/>
        <v>-0.37704873941678624</v>
      </c>
      <c r="AJ31" s="64" t="e">
        <f t="shared" si="23"/>
        <v>#REF!</v>
      </c>
      <c r="AK31" s="64" t="e">
        <f t="shared" si="23"/>
        <v>#REF!</v>
      </c>
      <c r="AL31" s="64">
        <f t="shared" si="23"/>
        <v>-3.7704873941678624E-2</v>
      </c>
      <c r="AM31" s="64" t="e">
        <f t="shared" si="23"/>
        <v>#REF!</v>
      </c>
    </row>
    <row r="32" spans="1:39" x14ac:dyDescent="0.2">
      <c r="A32" s="69" t="s">
        <v>105</v>
      </c>
      <c r="B32" s="74">
        <v>1</v>
      </c>
      <c r="C32" s="74">
        <v>200</v>
      </c>
      <c r="I32" s="32">
        <f t="shared" si="16"/>
        <v>23</v>
      </c>
      <c r="AC32" s="57"/>
      <c r="AD32" s="64"/>
      <c r="AE32" s="64"/>
      <c r="AF32" s="64"/>
      <c r="AG32" s="64"/>
      <c r="AH32" s="64"/>
      <c r="AI32" s="64"/>
      <c r="AJ32" s="64"/>
      <c r="AK32" s="64"/>
      <c r="AL32" s="64"/>
      <c r="AM32" s="64"/>
    </row>
    <row r="33" spans="1:39" x14ac:dyDescent="0.2">
      <c r="A33" s="69"/>
      <c r="B33" s="74" t="s">
        <v>71</v>
      </c>
      <c r="C33" s="74">
        <v>100</v>
      </c>
      <c r="I33" s="32">
        <f t="shared" si="16"/>
        <v>24</v>
      </c>
      <c r="AC33" s="55" t="str">
        <f>"Present Value at "&amp;TEXT(D13,"0.00%")&amp;":"</f>
        <v>Present Value at 5.00%:</v>
      </c>
      <c r="AD33" s="64" t="e">
        <f t="shared" ref="AD33:AM33" si="24">AD9+NPV($D$13,AD10:AD29)</f>
        <v>#REF!</v>
      </c>
      <c r="AE33" s="64" t="e">
        <f t="shared" si="24"/>
        <v>#REF!</v>
      </c>
      <c r="AF33" s="64" t="e">
        <f t="shared" si="24"/>
        <v>#REF!</v>
      </c>
      <c r="AG33" s="64">
        <f t="shared" si="24"/>
        <v>-498.17806205388388</v>
      </c>
      <c r="AH33" s="64" t="e">
        <f t="shared" si="24"/>
        <v>#REF!</v>
      </c>
      <c r="AI33" s="64">
        <f t="shared" si="24"/>
        <v>-9.0153288100300557</v>
      </c>
      <c r="AJ33" s="64" t="e">
        <f t="shared" si="24"/>
        <v>#REF!</v>
      </c>
      <c r="AK33" s="64" t="e">
        <f t="shared" si="24"/>
        <v>#REF!</v>
      </c>
      <c r="AL33" s="64">
        <f t="shared" si="24"/>
        <v>-0.15305024764705849</v>
      </c>
      <c r="AM33" s="64" t="e">
        <f t="shared" si="24"/>
        <v>#REF!</v>
      </c>
    </row>
    <row r="34" spans="1:39" x14ac:dyDescent="0.2">
      <c r="A34" s="69" t="s">
        <v>106</v>
      </c>
      <c r="B34" s="74">
        <v>1</v>
      </c>
      <c r="C34" s="74">
        <v>200</v>
      </c>
      <c r="I34" s="32">
        <f t="shared" si="16"/>
        <v>25</v>
      </c>
      <c r="AC34" s="5"/>
      <c r="AD34" s="64"/>
      <c r="AE34" s="64"/>
      <c r="AF34" s="64"/>
      <c r="AG34" s="64"/>
      <c r="AH34" s="64"/>
      <c r="AI34" s="64"/>
      <c r="AJ34" s="64"/>
      <c r="AK34" s="64"/>
      <c r="AL34" s="64"/>
      <c r="AM34" s="64"/>
    </row>
    <row r="35" spans="1:39" x14ac:dyDescent="0.2">
      <c r="A35" s="69"/>
      <c r="B35" s="74" t="s">
        <v>71</v>
      </c>
      <c r="C35" s="74">
        <v>100</v>
      </c>
      <c r="I35" s="32">
        <f t="shared" si="16"/>
        <v>26</v>
      </c>
      <c r="AC35" s="55" t="str">
        <f>"Present Value at "&amp;TEXT(D23,"0.00%")&amp;":"</f>
        <v>Present Value at 0.00%:</v>
      </c>
      <c r="AD35" s="64"/>
      <c r="AE35" s="64"/>
      <c r="AF35" s="64"/>
      <c r="AG35" s="64"/>
      <c r="AH35" s="64"/>
      <c r="AI35" s="64"/>
      <c r="AJ35" s="64"/>
      <c r="AK35" s="64"/>
      <c r="AL35" s="64"/>
      <c r="AM35" s="64"/>
    </row>
    <row r="36" spans="1:39" x14ac:dyDescent="0.2">
      <c r="I36" s="32">
        <f t="shared" si="16"/>
        <v>27</v>
      </c>
      <c r="AC36" s="21"/>
    </row>
    <row r="37" spans="1:39" x14ac:dyDescent="0.2">
      <c r="I37" s="32">
        <f t="shared" si="16"/>
        <v>28</v>
      </c>
    </row>
    <row r="38" spans="1:39" x14ac:dyDescent="0.2">
      <c r="B38" t="s">
        <v>91</v>
      </c>
      <c r="I38" s="32">
        <f t="shared" si="16"/>
        <v>29</v>
      </c>
    </row>
    <row r="39" spans="1:39" x14ac:dyDescent="0.2">
      <c r="A39" t="s">
        <v>26</v>
      </c>
      <c r="B39" s="61" t="s">
        <v>107</v>
      </c>
      <c r="I39" s="32">
        <f t="shared" si="16"/>
        <v>30</v>
      </c>
    </row>
    <row r="40" spans="1:39" x14ac:dyDescent="0.2">
      <c r="A40">
        <v>0</v>
      </c>
      <c r="B40" s="77">
        <v>0.85</v>
      </c>
      <c r="I40" s="32">
        <f t="shared" si="16"/>
        <v>31</v>
      </c>
    </row>
    <row r="41" spans="1:39" x14ac:dyDescent="0.2">
      <c r="A41">
        <f t="shared" ref="A41:A60" si="25">A40+1</f>
        <v>1</v>
      </c>
      <c r="B41" s="77">
        <v>0.85</v>
      </c>
      <c r="I41" s="32">
        <f t="shared" si="16"/>
        <v>32</v>
      </c>
    </row>
    <row r="42" spans="1:39" x14ac:dyDescent="0.2">
      <c r="A42">
        <f t="shared" si="25"/>
        <v>2</v>
      </c>
      <c r="B42" s="77">
        <v>0.6</v>
      </c>
      <c r="I42" s="32">
        <f t="shared" si="16"/>
        <v>33</v>
      </c>
    </row>
    <row r="43" spans="1:39" x14ac:dyDescent="0.2">
      <c r="A43">
        <f t="shared" si="25"/>
        <v>3</v>
      </c>
      <c r="B43" s="77">
        <v>0.75</v>
      </c>
      <c r="I43" s="32">
        <f t="shared" si="16"/>
        <v>34</v>
      </c>
    </row>
    <row r="44" spans="1:39" x14ac:dyDescent="0.2">
      <c r="A44">
        <f t="shared" si="25"/>
        <v>4</v>
      </c>
      <c r="B44" s="77">
        <f t="shared" ref="B44:B49" si="26">B43-0.05</f>
        <v>0.7</v>
      </c>
      <c r="I44" s="32">
        <f t="shared" si="16"/>
        <v>35</v>
      </c>
    </row>
    <row r="45" spans="1:39" x14ac:dyDescent="0.2">
      <c r="A45">
        <f t="shared" si="25"/>
        <v>5</v>
      </c>
      <c r="B45" s="77">
        <f t="shared" si="26"/>
        <v>0.64999999999999991</v>
      </c>
      <c r="I45" s="32">
        <f t="shared" si="16"/>
        <v>36</v>
      </c>
    </row>
    <row r="46" spans="1:39" x14ac:dyDescent="0.2">
      <c r="A46">
        <f t="shared" si="25"/>
        <v>6</v>
      </c>
      <c r="B46" s="77">
        <f t="shared" si="26"/>
        <v>0.59999999999999987</v>
      </c>
      <c r="I46" s="32">
        <f t="shared" si="16"/>
        <v>37</v>
      </c>
    </row>
    <row r="47" spans="1:39" x14ac:dyDescent="0.2">
      <c r="A47">
        <f t="shared" si="25"/>
        <v>7</v>
      </c>
      <c r="B47" s="77">
        <f t="shared" si="26"/>
        <v>0.54999999999999982</v>
      </c>
      <c r="I47" s="32">
        <f t="shared" si="16"/>
        <v>38</v>
      </c>
    </row>
    <row r="48" spans="1:39" x14ac:dyDescent="0.2">
      <c r="A48">
        <f t="shared" si="25"/>
        <v>8</v>
      </c>
      <c r="B48" s="77">
        <f t="shared" si="26"/>
        <v>0.49999999999999983</v>
      </c>
      <c r="I48" s="32">
        <f t="shared" si="16"/>
        <v>39</v>
      </c>
    </row>
    <row r="49" spans="1:9" x14ac:dyDescent="0.2">
      <c r="A49">
        <f t="shared" si="25"/>
        <v>9</v>
      </c>
      <c r="B49" s="77">
        <f t="shared" si="26"/>
        <v>0.44999999999999984</v>
      </c>
      <c r="I49" s="32">
        <f t="shared" si="16"/>
        <v>40</v>
      </c>
    </row>
    <row r="50" spans="1:9" x14ac:dyDescent="0.2">
      <c r="A50">
        <f t="shared" si="25"/>
        <v>10</v>
      </c>
      <c r="B50" s="77">
        <f>B49</f>
        <v>0.44999999999999984</v>
      </c>
      <c r="I50" s="32">
        <f t="shared" si="16"/>
        <v>41</v>
      </c>
    </row>
    <row r="51" spans="1:9" x14ac:dyDescent="0.2">
      <c r="A51">
        <f t="shared" si="25"/>
        <v>11</v>
      </c>
      <c r="B51" s="77">
        <f>B50</f>
        <v>0.44999999999999984</v>
      </c>
      <c r="I51" s="32">
        <f t="shared" si="16"/>
        <v>42</v>
      </c>
    </row>
    <row r="52" spans="1:9" x14ac:dyDescent="0.2">
      <c r="A52">
        <f t="shared" si="25"/>
        <v>12</v>
      </c>
      <c r="B52">
        <v>0.4</v>
      </c>
      <c r="I52" s="32">
        <f t="shared" si="16"/>
        <v>43</v>
      </c>
    </row>
    <row r="53" spans="1:9" x14ac:dyDescent="0.2">
      <c r="A53">
        <f t="shared" si="25"/>
        <v>13</v>
      </c>
      <c r="B53" s="78">
        <f>B52</f>
        <v>0.4</v>
      </c>
      <c r="I53" s="32">
        <f t="shared" si="16"/>
        <v>44</v>
      </c>
    </row>
    <row r="54" spans="1:9" x14ac:dyDescent="0.2">
      <c r="A54">
        <f t="shared" si="25"/>
        <v>14</v>
      </c>
      <c r="B54" s="78">
        <f>B53</f>
        <v>0.4</v>
      </c>
      <c r="I54" s="32">
        <f t="shared" si="16"/>
        <v>45</v>
      </c>
    </row>
    <row r="55" spans="1:9" x14ac:dyDescent="0.2">
      <c r="A55">
        <f t="shared" si="25"/>
        <v>15</v>
      </c>
      <c r="B55" s="79">
        <f>B54</f>
        <v>0.4</v>
      </c>
      <c r="I55" s="32">
        <f t="shared" si="16"/>
        <v>46</v>
      </c>
    </row>
    <row r="56" spans="1:9" x14ac:dyDescent="0.2">
      <c r="A56">
        <f t="shared" si="25"/>
        <v>16</v>
      </c>
      <c r="B56" s="79">
        <f>B55-0.05</f>
        <v>0.35000000000000003</v>
      </c>
      <c r="I56" s="32">
        <f t="shared" si="16"/>
        <v>47</v>
      </c>
    </row>
    <row r="57" spans="1:9" x14ac:dyDescent="0.2">
      <c r="A57">
        <f t="shared" si="25"/>
        <v>17</v>
      </c>
      <c r="B57" s="79">
        <f>B56</f>
        <v>0.35000000000000003</v>
      </c>
      <c r="I57" s="32">
        <f t="shared" si="16"/>
        <v>48</v>
      </c>
    </row>
    <row r="58" spans="1:9" x14ac:dyDescent="0.2">
      <c r="A58">
        <f t="shared" si="25"/>
        <v>18</v>
      </c>
      <c r="B58" s="78">
        <v>0.3</v>
      </c>
      <c r="I58" s="32">
        <f t="shared" si="16"/>
        <v>49</v>
      </c>
    </row>
    <row r="59" spans="1:9" x14ac:dyDescent="0.2">
      <c r="A59">
        <f t="shared" si="25"/>
        <v>19</v>
      </c>
      <c r="B59" s="78">
        <v>0.2</v>
      </c>
      <c r="I59" s="32">
        <f t="shared" si="16"/>
        <v>50</v>
      </c>
    </row>
    <row r="60" spans="1:9" x14ac:dyDescent="0.2">
      <c r="A60">
        <f t="shared" si="25"/>
        <v>20</v>
      </c>
      <c r="B60" s="78">
        <v>0.1</v>
      </c>
      <c r="I60" s="32">
        <f t="shared" si="16"/>
        <v>51</v>
      </c>
    </row>
    <row r="61" spans="1:9" x14ac:dyDescent="0.2">
      <c r="I61" s="32">
        <f t="shared" si="16"/>
        <v>52</v>
      </c>
    </row>
    <row r="62" spans="1:9" x14ac:dyDescent="0.2">
      <c r="I62" s="32">
        <f t="shared" si="16"/>
        <v>53</v>
      </c>
    </row>
    <row r="63" spans="1:9" x14ac:dyDescent="0.2">
      <c r="I63" s="32">
        <f t="shared" si="16"/>
        <v>54</v>
      </c>
    </row>
    <row r="64" spans="1:9" x14ac:dyDescent="0.2">
      <c r="I64" s="32">
        <f t="shared" si="16"/>
        <v>55</v>
      </c>
    </row>
    <row r="65" spans="9:9" x14ac:dyDescent="0.2">
      <c r="I65" s="32">
        <f t="shared" si="16"/>
        <v>56</v>
      </c>
    </row>
    <row r="66" spans="9:9" x14ac:dyDescent="0.2">
      <c r="I66" s="32">
        <f t="shared" si="16"/>
        <v>57</v>
      </c>
    </row>
    <row r="67" spans="9:9" x14ac:dyDescent="0.2">
      <c r="I67" s="32">
        <f t="shared" si="16"/>
        <v>58</v>
      </c>
    </row>
    <row r="68" spans="9:9" x14ac:dyDescent="0.2">
      <c r="I68" s="32">
        <f t="shared" si="16"/>
        <v>59</v>
      </c>
    </row>
    <row r="69" spans="9:9" x14ac:dyDescent="0.2">
      <c r="I69" s="32">
        <f t="shared" si="16"/>
        <v>60</v>
      </c>
    </row>
    <row r="70" spans="9:9" x14ac:dyDescent="0.2">
      <c r="I70" s="32">
        <f t="shared" si="16"/>
        <v>61</v>
      </c>
    </row>
    <row r="71" spans="9:9" x14ac:dyDescent="0.2">
      <c r="I71" s="32">
        <f t="shared" si="16"/>
        <v>62</v>
      </c>
    </row>
    <row r="72" spans="9:9" x14ac:dyDescent="0.2">
      <c r="I72" s="32">
        <f t="shared" si="16"/>
        <v>63</v>
      </c>
    </row>
    <row r="73" spans="9:9" x14ac:dyDescent="0.2">
      <c r="I73" s="32">
        <f t="shared" si="16"/>
        <v>64</v>
      </c>
    </row>
    <row r="74" spans="9:9" x14ac:dyDescent="0.2">
      <c r="I74" s="32">
        <f t="shared" si="16"/>
        <v>65</v>
      </c>
    </row>
    <row r="75" spans="9:9" x14ac:dyDescent="0.2">
      <c r="I75" s="32">
        <f t="shared" ref="I75:I84" si="27">I74+1</f>
        <v>66</v>
      </c>
    </row>
    <row r="76" spans="9:9" x14ac:dyDescent="0.2">
      <c r="I76" s="32">
        <f t="shared" si="27"/>
        <v>67</v>
      </c>
    </row>
    <row r="77" spans="9:9" x14ac:dyDescent="0.2">
      <c r="I77" s="32">
        <f t="shared" si="27"/>
        <v>68</v>
      </c>
    </row>
    <row r="78" spans="9:9" x14ac:dyDescent="0.2">
      <c r="I78" s="32">
        <f t="shared" si="27"/>
        <v>69</v>
      </c>
    </row>
    <row r="79" spans="9:9" x14ac:dyDescent="0.2">
      <c r="I79" s="32">
        <f t="shared" si="27"/>
        <v>70</v>
      </c>
    </row>
    <row r="80" spans="9:9" x14ac:dyDescent="0.2">
      <c r="I80" s="32">
        <f t="shared" si="27"/>
        <v>71</v>
      </c>
    </row>
    <row r="81" spans="9:9" x14ac:dyDescent="0.2">
      <c r="I81" s="32">
        <f t="shared" si="27"/>
        <v>72</v>
      </c>
    </row>
    <row r="82" spans="9:9" x14ac:dyDescent="0.2">
      <c r="I82" s="32">
        <f t="shared" si="27"/>
        <v>73</v>
      </c>
    </row>
    <row r="83" spans="9:9" x14ac:dyDescent="0.2">
      <c r="I83" s="32">
        <f t="shared" si="27"/>
        <v>74</v>
      </c>
    </row>
    <row r="84" spans="9:9" x14ac:dyDescent="0.2">
      <c r="I84" s="32">
        <f t="shared" si="27"/>
        <v>75</v>
      </c>
    </row>
  </sheetData>
  <mergeCells count="3">
    <mergeCell ref="R6:W6"/>
    <mergeCell ref="Y6:AB6"/>
    <mergeCell ref="AD6:AM6"/>
  </mergeCell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FC732-5BEA-E049-B8A5-9CE098D72ADF}">
  <dimension ref="A1:AX46"/>
  <sheetViews>
    <sheetView tabSelected="1" workbookViewId="0">
      <pane ySplit="3" topLeftCell="A4" activePane="bottomLeft" state="frozen"/>
      <selection pane="bottomLeft" activeCell="J32" sqref="J32"/>
    </sheetView>
  </sheetViews>
  <sheetFormatPr baseColWidth="10" defaultColWidth="9.83203125" defaultRowHeight="13" x14ac:dyDescent="0.15"/>
  <cols>
    <col min="1" max="5" width="9.83203125" style="5"/>
    <col min="6" max="6" width="9" style="5" customWidth="1"/>
    <col min="7" max="7" width="14" style="5" customWidth="1"/>
    <col min="8" max="10" width="9.83203125" style="5"/>
    <col min="11" max="11" width="11.5" style="5" customWidth="1"/>
    <col min="12" max="12" width="9.83203125" style="5"/>
    <col min="13" max="13" width="8.5" style="5" customWidth="1"/>
    <col min="14" max="16" width="10" style="5" customWidth="1"/>
    <col min="17" max="17" width="5" style="5" customWidth="1"/>
    <col min="18" max="18" width="9.83203125" style="5" customWidth="1"/>
    <col min="19" max="22" width="9.83203125" style="5"/>
    <col min="23" max="23" width="7.5" style="5" customWidth="1"/>
    <col min="24" max="24" width="5" style="5" customWidth="1"/>
    <col min="25" max="28" width="9.83203125" style="5" customWidth="1"/>
    <col min="29" max="29" width="5" style="5" customWidth="1"/>
    <col min="30" max="30" width="9.83203125" style="5"/>
    <col min="31" max="31" width="10.33203125" style="5" customWidth="1"/>
    <col min="32" max="37" width="9.83203125" style="5"/>
    <col min="38" max="38" width="11" style="5" customWidth="1"/>
    <col min="39" max="39" width="12.33203125" style="5" customWidth="1"/>
    <col min="40" max="45" width="9.83203125" style="5"/>
    <col min="46" max="46" width="10" style="5" customWidth="1"/>
    <col min="47" max="49" width="9.83203125" style="5"/>
    <col min="50" max="50" width="8.5" style="5" bestFit="1" customWidth="1"/>
    <col min="51" max="261" width="9.83203125" style="5"/>
    <col min="262" max="262" width="9" style="5" customWidth="1"/>
    <col min="263" max="263" width="14" style="5" customWidth="1"/>
    <col min="264" max="266" width="9.83203125" style="5"/>
    <col min="267" max="267" width="11.5" style="5" customWidth="1"/>
    <col min="268" max="268" width="9.83203125" style="5"/>
    <col min="269" max="269" width="8.5" style="5" customWidth="1"/>
    <col min="270" max="272" width="10" style="5" customWidth="1"/>
    <col min="273" max="273" width="5" style="5" customWidth="1"/>
    <col min="274" max="274" width="9.83203125" style="5" customWidth="1"/>
    <col min="275" max="278" width="9.83203125" style="5"/>
    <col min="279" max="279" width="7.5" style="5" customWidth="1"/>
    <col min="280" max="280" width="5" style="5" customWidth="1"/>
    <col min="281" max="284" width="9.83203125" style="5"/>
    <col min="285" max="285" width="5" style="5" customWidth="1"/>
    <col min="286" max="286" width="9.83203125" style="5"/>
    <col min="287" max="287" width="10.33203125" style="5" customWidth="1"/>
    <col min="288" max="293" width="9.83203125" style="5"/>
    <col min="294" max="294" width="11" style="5" customWidth="1"/>
    <col min="295" max="295" width="12.33203125" style="5" customWidth="1"/>
    <col min="296" max="301" width="9.83203125" style="5"/>
    <col min="302" max="302" width="10" style="5" customWidth="1"/>
    <col min="303" max="305" width="9.83203125" style="5"/>
    <col min="306" max="306" width="8.5" style="5" bestFit="1" customWidth="1"/>
    <col min="307" max="517" width="9.83203125" style="5"/>
    <col min="518" max="518" width="9" style="5" customWidth="1"/>
    <col min="519" max="519" width="14" style="5" customWidth="1"/>
    <col min="520" max="522" width="9.83203125" style="5"/>
    <col min="523" max="523" width="11.5" style="5" customWidth="1"/>
    <col min="524" max="524" width="9.83203125" style="5"/>
    <col min="525" max="525" width="8.5" style="5" customWidth="1"/>
    <col min="526" max="528" width="10" style="5" customWidth="1"/>
    <col min="529" max="529" width="5" style="5" customWidth="1"/>
    <col min="530" max="530" width="9.83203125" style="5" customWidth="1"/>
    <col min="531" max="534" width="9.83203125" style="5"/>
    <col min="535" max="535" width="7.5" style="5" customWidth="1"/>
    <col min="536" max="536" width="5" style="5" customWidth="1"/>
    <col min="537" max="540" width="9.83203125" style="5"/>
    <col min="541" max="541" width="5" style="5" customWidth="1"/>
    <col min="542" max="542" width="9.83203125" style="5"/>
    <col min="543" max="543" width="10.33203125" style="5" customWidth="1"/>
    <col min="544" max="549" width="9.83203125" style="5"/>
    <col min="550" max="550" width="11" style="5" customWidth="1"/>
    <col min="551" max="551" width="12.33203125" style="5" customWidth="1"/>
    <col min="552" max="557" width="9.83203125" style="5"/>
    <col min="558" max="558" width="10" style="5" customWidth="1"/>
    <col min="559" max="561" width="9.83203125" style="5"/>
    <col min="562" max="562" width="8.5" style="5" bestFit="1" customWidth="1"/>
    <col min="563" max="773" width="9.83203125" style="5"/>
    <col min="774" max="774" width="9" style="5" customWidth="1"/>
    <col min="775" max="775" width="14" style="5" customWidth="1"/>
    <col min="776" max="778" width="9.83203125" style="5"/>
    <col min="779" max="779" width="11.5" style="5" customWidth="1"/>
    <col min="780" max="780" width="9.83203125" style="5"/>
    <col min="781" max="781" width="8.5" style="5" customWidth="1"/>
    <col min="782" max="784" width="10" style="5" customWidth="1"/>
    <col min="785" max="785" width="5" style="5" customWidth="1"/>
    <col min="786" max="786" width="9.83203125" style="5" customWidth="1"/>
    <col min="787" max="790" width="9.83203125" style="5"/>
    <col min="791" max="791" width="7.5" style="5" customWidth="1"/>
    <col min="792" max="792" width="5" style="5" customWidth="1"/>
    <col min="793" max="796" width="9.83203125" style="5"/>
    <col min="797" max="797" width="5" style="5" customWidth="1"/>
    <col min="798" max="798" width="9.83203125" style="5"/>
    <col min="799" max="799" width="10.33203125" style="5" customWidth="1"/>
    <col min="800" max="805" width="9.83203125" style="5"/>
    <col min="806" max="806" width="11" style="5" customWidth="1"/>
    <col min="807" max="807" width="12.33203125" style="5" customWidth="1"/>
    <col min="808" max="813" width="9.83203125" style="5"/>
    <col min="814" max="814" width="10" style="5" customWidth="1"/>
    <col min="815" max="817" width="9.83203125" style="5"/>
    <col min="818" max="818" width="8.5" style="5" bestFit="1" customWidth="1"/>
    <col min="819" max="1029" width="9.83203125" style="5"/>
    <col min="1030" max="1030" width="9" style="5" customWidth="1"/>
    <col min="1031" max="1031" width="14" style="5" customWidth="1"/>
    <col min="1032" max="1034" width="9.83203125" style="5"/>
    <col min="1035" max="1035" width="11.5" style="5" customWidth="1"/>
    <col min="1036" max="1036" width="9.83203125" style="5"/>
    <col min="1037" max="1037" width="8.5" style="5" customWidth="1"/>
    <col min="1038" max="1040" width="10" style="5" customWidth="1"/>
    <col min="1041" max="1041" width="5" style="5" customWidth="1"/>
    <col min="1042" max="1042" width="9.83203125" style="5" customWidth="1"/>
    <col min="1043" max="1046" width="9.83203125" style="5"/>
    <col min="1047" max="1047" width="7.5" style="5" customWidth="1"/>
    <col min="1048" max="1048" width="5" style="5" customWidth="1"/>
    <col min="1049" max="1052" width="9.83203125" style="5"/>
    <col min="1053" max="1053" width="5" style="5" customWidth="1"/>
    <col min="1054" max="1054" width="9.83203125" style="5"/>
    <col min="1055" max="1055" width="10.33203125" style="5" customWidth="1"/>
    <col min="1056" max="1061" width="9.83203125" style="5"/>
    <col min="1062" max="1062" width="11" style="5" customWidth="1"/>
    <col min="1063" max="1063" width="12.33203125" style="5" customWidth="1"/>
    <col min="1064" max="1069" width="9.83203125" style="5"/>
    <col min="1070" max="1070" width="10" style="5" customWidth="1"/>
    <col min="1071" max="1073" width="9.83203125" style="5"/>
    <col min="1074" max="1074" width="8.5" style="5" bestFit="1" customWidth="1"/>
    <col min="1075" max="1285" width="9.83203125" style="5"/>
    <col min="1286" max="1286" width="9" style="5" customWidth="1"/>
    <col min="1287" max="1287" width="14" style="5" customWidth="1"/>
    <col min="1288" max="1290" width="9.83203125" style="5"/>
    <col min="1291" max="1291" width="11.5" style="5" customWidth="1"/>
    <col min="1292" max="1292" width="9.83203125" style="5"/>
    <col min="1293" max="1293" width="8.5" style="5" customWidth="1"/>
    <col min="1294" max="1296" width="10" style="5" customWidth="1"/>
    <col min="1297" max="1297" width="5" style="5" customWidth="1"/>
    <col min="1298" max="1298" width="9.83203125" style="5" customWidth="1"/>
    <col min="1299" max="1302" width="9.83203125" style="5"/>
    <col min="1303" max="1303" width="7.5" style="5" customWidth="1"/>
    <col min="1304" max="1304" width="5" style="5" customWidth="1"/>
    <col min="1305" max="1308" width="9.83203125" style="5"/>
    <col min="1309" max="1309" width="5" style="5" customWidth="1"/>
    <col min="1310" max="1310" width="9.83203125" style="5"/>
    <col min="1311" max="1311" width="10.33203125" style="5" customWidth="1"/>
    <col min="1312" max="1317" width="9.83203125" style="5"/>
    <col min="1318" max="1318" width="11" style="5" customWidth="1"/>
    <col min="1319" max="1319" width="12.33203125" style="5" customWidth="1"/>
    <col min="1320" max="1325" width="9.83203125" style="5"/>
    <col min="1326" max="1326" width="10" style="5" customWidth="1"/>
    <col min="1327" max="1329" width="9.83203125" style="5"/>
    <col min="1330" max="1330" width="8.5" style="5" bestFit="1" customWidth="1"/>
    <col min="1331" max="1541" width="9.83203125" style="5"/>
    <col min="1542" max="1542" width="9" style="5" customWidth="1"/>
    <col min="1543" max="1543" width="14" style="5" customWidth="1"/>
    <col min="1544" max="1546" width="9.83203125" style="5"/>
    <col min="1547" max="1547" width="11.5" style="5" customWidth="1"/>
    <col min="1548" max="1548" width="9.83203125" style="5"/>
    <col min="1549" max="1549" width="8.5" style="5" customWidth="1"/>
    <col min="1550" max="1552" width="10" style="5" customWidth="1"/>
    <col min="1553" max="1553" width="5" style="5" customWidth="1"/>
    <col min="1554" max="1554" width="9.83203125" style="5" customWidth="1"/>
    <col min="1555" max="1558" width="9.83203125" style="5"/>
    <col min="1559" max="1559" width="7.5" style="5" customWidth="1"/>
    <col min="1560" max="1560" width="5" style="5" customWidth="1"/>
    <col min="1561" max="1564" width="9.83203125" style="5"/>
    <col min="1565" max="1565" width="5" style="5" customWidth="1"/>
    <col min="1566" max="1566" width="9.83203125" style="5"/>
    <col min="1567" max="1567" width="10.33203125" style="5" customWidth="1"/>
    <col min="1568" max="1573" width="9.83203125" style="5"/>
    <col min="1574" max="1574" width="11" style="5" customWidth="1"/>
    <col min="1575" max="1575" width="12.33203125" style="5" customWidth="1"/>
    <col min="1576" max="1581" width="9.83203125" style="5"/>
    <col min="1582" max="1582" width="10" style="5" customWidth="1"/>
    <col min="1583" max="1585" width="9.83203125" style="5"/>
    <col min="1586" max="1586" width="8.5" style="5" bestFit="1" customWidth="1"/>
    <col min="1587" max="1797" width="9.83203125" style="5"/>
    <col min="1798" max="1798" width="9" style="5" customWidth="1"/>
    <col min="1799" max="1799" width="14" style="5" customWidth="1"/>
    <col min="1800" max="1802" width="9.83203125" style="5"/>
    <col min="1803" max="1803" width="11.5" style="5" customWidth="1"/>
    <col min="1804" max="1804" width="9.83203125" style="5"/>
    <col min="1805" max="1805" width="8.5" style="5" customWidth="1"/>
    <col min="1806" max="1808" width="10" style="5" customWidth="1"/>
    <col min="1809" max="1809" width="5" style="5" customWidth="1"/>
    <col min="1810" max="1810" width="9.83203125" style="5" customWidth="1"/>
    <col min="1811" max="1814" width="9.83203125" style="5"/>
    <col min="1815" max="1815" width="7.5" style="5" customWidth="1"/>
    <col min="1816" max="1816" width="5" style="5" customWidth="1"/>
    <col min="1817" max="1820" width="9.83203125" style="5"/>
    <col min="1821" max="1821" width="5" style="5" customWidth="1"/>
    <col min="1822" max="1822" width="9.83203125" style="5"/>
    <col min="1823" max="1823" width="10.33203125" style="5" customWidth="1"/>
    <col min="1824" max="1829" width="9.83203125" style="5"/>
    <col min="1830" max="1830" width="11" style="5" customWidth="1"/>
    <col min="1831" max="1831" width="12.33203125" style="5" customWidth="1"/>
    <col min="1832" max="1837" width="9.83203125" style="5"/>
    <col min="1838" max="1838" width="10" style="5" customWidth="1"/>
    <col min="1839" max="1841" width="9.83203125" style="5"/>
    <col min="1842" max="1842" width="8.5" style="5" bestFit="1" customWidth="1"/>
    <col min="1843" max="2053" width="9.83203125" style="5"/>
    <col min="2054" max="2054" width="9" style="5" customWidth="1"/>
    <col min="2055" max="2055" width="14" style="5" customWidth="1"/>
    <col min="2056" max="2058" width="9.83203125" style="5"/>
    <col min="2059" max="2059" width="11.5" style="5" customWidth="1"/>
    <col min="2060" max="2060" width="9.83203125" style="5"/>
    <col min="2061" max="2061" width="8.5" style="5" customWidth="1"/>
    <col min="2062" max="2064" width="10" style="5" customWidth="1"/>
    <col min="2065" max="2065" width="5" style="5" customWidth="1"/>
    <col min="2066" max="2066" width="9.83203125" style="5" customWidth="1"/>
    <col min="2067" max="2070" width="9.83203125" style="5"/>
    <col min="2071" max="2071" width="7.5" style="5" customWidth="1"/>
    <col min="2072" max="2072" width="5" style="5" customWidth="1"/>
    <col min="2073" max="2076" width="9.83203125" style="5"/>
    <col min="2077" max="2077" width="5" style="5" customWidth="1"/>
    <col min="2078" max="2078" width="9.83203125" style="5"/>
    <col min="2079" max="2079" width="10.33203125" style="5" customWidth="1"/>
    <col min="2080" max="2085" width="9.83203125" style="5"/>
    <col min="2086" max="2086" width="11" style="5" customWidth="1"/>
    <col min="2087" max="2087" width="12.33203125" style="5" customWidth="1"/>
    <col min="2088" max="2093" width="9.83203125" style="5"/>
    <col min="2094" max="2094" width="10" style="5" customWidth="1"/>
    <col min="2095" max="2097" width="9.83203125" style="5"/>
    <col min="2098" max="2098" width="8.5" style="5" bestFit="1" customWidth="1"/>
    <col min="2099" max="2309" width="9.83203125" style="5"/>
    <col min="2310" max="2310" width="9" style="5" customWidth="1"/>
    <col min="2311" max="2311" width="14" style="5" customWidth="1"/>
    <col min="2312" max="2314" width="9.83203125" style="5"/>
    <col min="2315" max="2315" width="11.5" style="5" customWidth="1"/>
    <col min="2316" max="2316" width="9.83203125" style="5"/>
    <col min="2317" max="2317" width="8.5" style="5" customWidth="1"/>
    <col min="2318" max="2320" width="10" style="5" customWidth="1"/>
    <col min="2321" max="2321" width="5" style="5" customWidth="1"/>
    <col min="2322" max="2322" width="9.83203125" style="5" customWidth="1"/>
    <col min="2323" max="2326" width="9.83203125" style="5"/>
    <col min="2327" max="2327" width="7.5" style="5" customWidth="1"/>
    <col min="2328" max="2328" width="5" style="5" customWidth="1"/>
    <col min="2329" max="2332" width="9.83203125" style="5"/>
    <col min="2333" max="2333" width="5" style="5" customWidth="1"/>
    <col min="2334" max="2334" width="9.83203125" style="5"/>
    <col min="2335" max="2335" width="10.33203125" style="5" customWidth="1"/>
    <col min="2336" max="2341" width="9.83203125" style="5"/>
    <col min="2342" max="2342" width="11" style="5" customWidth="1"/>
    <col min="2343" max="2343" width="12.33203125" style="5" customWidth="1"/>
    <col min="2344" max="2349" width="9.83203125" style="5"/>
    <col min="2350" max="2350" width="10" style="5" customWidth="1"/>
    <col min="2351" max="2353" width="9.83203125" style="5"/>
    <col min="2354" max="2354" width="8.5" style="5" bestFit="1" customWidth="1"/>
    <col min="2355" max="2565" width="9.83203125" style="5"/>
    <col min="2566" max="2566" width="9" style="5" customWidth="1"/>
    <col min="2567" max="2567" width="14" style="5" customWidth="1"/>
    <col min="2568" max="2570" width="9.83203125" style="5"/>
    <col min="2571" max="2571" width="11.5" style="5" customWidth="1"/>
    <col min="2572" max="2572" width="9.83203125" style="5"/>
    <col min="2573" max="2573" width="8.5" style="5" customWidth="1"/>
    <col min="2574" max="2576" width="10" style="5" customWidth="1"/>
    <col min="2577" max="2577" width="5" style="5" customWidth="1"/>
    <col min="2578" max="2578" width="9.83203125" style="5" customWidth="1"/>
    <col min="2579" max="2582" width="9.83203125" style="5"/>
    <col min="2583" max="2583" width="7.5" style="5" customWidth="1"/>
    <col min="2584" max="2584" width="5" style="5" customWidth="1"/>
    <col min="2585" max="2588" width="9.83203125" style="5"/>
    <col min="2589" max="2589" width="5" style="5" customWidth="1"/>
    <col min="2590" max="2590" width="9.83203125" style="5"/>
    <col min="2591" max="2591" width="10.33203125" style="5" customWidth="1"/>
    <col min="2592" max="2597" width="9.83203125" style="5"/>
    <col min="2598" max="2598" width="11" style="5" customWidth="1"/>
    <col min="2599" max="2599" width="12.33203125" style="5" customWidth="1"/>
    <col min="2600" max="2605" width="9.83203125" style="5"/>
    <col min="2606" max="2606" width="10" style="5" customWidth="1"/>
    <col min="2607" max="2609" width="9.83203125" style="5"/>
    <col min="2610" max="2610" width="8.5" style="5" bestFit="1" customWidth="1"/>
    <col min="2611" max="2821" width="9.83203125" style="5"/>
    <col min="2822" max="2822" width="9" style="5" customWidth="1"/>
    <col min="2823" max="2823" width="14" style="5" customWidth="1"/>
    <col min="2824" max="2826" width="9.83203125" style="5"/>
    <col min="2827" max="2827" width="11.5" style="5" customWidth="1"/>
    <col min="2828" max="2828" width="9.83203125" style="5"/>
    <col min="2829" max="2829" width="8.5" style="5" customWidth="1"/>
    <col min="2830" max="2832" width="10" style="5" customWidth="1"/>
    <col min="2833" max="2833" width="5" style="5" customWidth="1"/>
    <col min="2834" max="2834" width="9.83203125" style="5" customWidth="1"/>
    <col min="2835" max="2838" width="9.83203125" style="5"/>
    <col min="2839" max="2839" width="7.5" style="5" customWidth="1"/>
    <col min="2840" max="2840" width="5" style="5" customWidth="1"/>
    <col min="2841" max="2844" width="9.83203125" style="5"/>
    <col min="2845" max="2845" width="5" style="5" customWidth="1"/>
    <col min="2846" max="2846" width="9.83203125" style="5"/>
    <col min="2847" max="2847" width="10.33203125" style="5" customWidth="1"/>
    <col min="2848" max="2853" width="9.83203125" style="5"/>
    <col min="2854" max="2854" width="11" style="5" customWidth="1"/>
    <col min="2855" max="2855" width="12.33203125" style="5" customWidth="1"/>
    <col min="2856" max="2861" width="9.83203125" style="5"/>
    <col min="2862" max="2862" width="10" style="5" customWidth="1"/>
    <col min="2863" max="2865" width="9.83203125" style="5"/>
    <col min="2866" max="2866" width="8.5" style="5" bestFit="1" customWidth="1"/>
    <col min="2867" max="3077" width="9.83203125" style="5"/>
    <col min="3078" max="3078" width="9" style="5" customWidth="1"/>
    <col min="3079" max="3079" width="14" style="5" customWidth="1"/>
    <col min="3080" max="3082" width="9.83203125" style="5"/>
    <col min="3083" max="3083" width="11.5" style="5" customWidth="1"/>
    <col min="3084" max="3084" width="9.83203125" style="5"/>
    <col min="3085" max="3085" width="8.5" style="5" customWidth="1"/>
    <col min="3086" max="3088" width="10" style="5" customWidth="1"/>
    <col min="3089" max="3089" width="5" style="5" customWidth="1"/>
    <col min="3090" max="3090" width="9.83203125" style="5" customWidth="1"/>
    <col min="3091" max="3094" width="9.83203125" style="5"/>
    <col min="3095" max="3095" width="7.5" style="5" customWidth="1"/>
    <col min="3096" max="3096" width="5" style="5" customWidth="1"/>
    <col min="3097" max="3100" width="9.83203125" style="5"/>
    <col min="3101" max="3101" width="5" style="5" customWidth="1"/>
    <col min="3102" max="3102" width="9.83203125" style="5"/>
    <col min="3103" max="3103" width="10.33203125" style="5" customWidth="1"/>
    <col min="3104" max="3109" width="9.83203125" style="5"/>
    <col min="3110" max="3110" width="11" style="5" customWidth="1"/>
    <col min="3111" max="3111" width="12.33203125" style="5" customWidth="1"/>
    <col min="3112" max="3117" width="9.83203125" style="5"/>
    <col min="3118" max="3118" width="10" style="5" customWidth="1"/>
    <col min="3119" max="3121" width="9.83203125" style="5"/>
    <col min="3122" max="3122" width="8.5" style="5" bestFit="1" customWidth="1"/>
    <col min="3123" max="3333" width="9.83203125" style="5"/>
    <col min="3334" max="3334" width="9" style="5" customWidth="1"/>
    <col min="3335" max="3335" width="14" style="5" customWidth="1"/>
    <col min="3336" max="3338" width="9.83203125" style="5"/>
    <col min="3339" max="3339" width="11.5" style="5" customWidth="1"/>
    <col min="3340" max="3340" width="9.83203125" style="5"/>
    <col min="3341" max="3341" width="8.5" style="5" customWidth="1"/>
    <col min="3342" max="3344" width="10" style="5" customWidth="1"/>
    <col min="3345" max="3345" width="5" style="5" customWidth="1"/>
    <col min="3346" max="3346" width="9.83203125" style="5" customWidth="1"/>
    <col min="3347" max="3350" width="9.83203125" style="5"/>
    <col min="3351" max="3351" width="7.5" style="5" customWidth="1"/>
    <col min="3352" max="3352" width="5" style="5" customWidth="1"/>
    <col min="3353" max="3356" width="9.83203125" style="5"/>
    <col min="3357" max="3357" width="5" style="5" customWidth="1"/>
    <col min="3358" max="3358" width="9.83203125" style="5"/>
    <col min="3359" max="3359" width="10.33203125" style="5" customWidth="1"/>
    <col min="3360" max="3365" width="9.83203125" style="5"/>
    <col min="3366" max="3366" width="11" style="5" customWidth="1"/>
    <col min="3367" max="3367" width="12.33203125" style="5" customWidth="1"/>
    <col min="3368" max="3373" width="9.83203125" style="5"/>
    <col min="3374" max="3374" width="10" style="5" customWidth="1"/>
    <col min="3375" max="3377" width="9.83203125" style="5"/>
    <col min="3378" max="3378" width="8.5" style="5" bestFit="1" customWidth="1"/>
    <col min="3379" max="3589" width="9.83203125" style="5"/>
    <col min="3590" max="3590" width="9" style="5" customWidth="1"/>
    <col min="3591" max="3591" width="14" style="5" customWidth="1"/>
    <col min="3592" max="3594" width="9.83203125" style="5"/>
    <col min="3595" max="3595" width="11.5" style="5" customWidth="1"/>
    <col min="3596" max="3596" width="9.83203125" style="5"/>
    <col min="3597" max="3597" width="8.5" style="5" customWidth="1"/>
    <col min="3598" max="3600" width="10" style="5" customWidth="1"/>
    <col min="3601" max="3601" width="5" style="5" customWidth="1"/>
    <col min="3602" max="3602" width="9.83203125" style="5" customWidth="1"/>
    <col min="3603" max="3606" width="9.83203125" style="5"/>
    <col min="3607" max="3607" width="7.5" style="5" customWidth="1"/>
    <col min="3608" max="3608" width="5" style="5" customWidth="1"/>
    <col min="3609" max="3612" width="9.83203125" style="5"/>
    <col min="3613" max="3613" width="5" style="5" customWidth="1"/>
    <col min="3614" max="3614" width="9.83203125" style="5"/>
    <col min="3615" max="3615" width="10.33203125" style="5" customWidth="1"/>
    <col min="3616" max="3621" width="9.83203125" style="5"/>
    <col min="3622" max="3622" width="11" style="5" customWidth="1"/>
    <col min="3623" max="3623" width="12.33203125" style="5" customWidth="1"/>
    <col min="3624" max="3629" width="9.83203125" style="5"/>
    <col min="3630" max="3630" width="10" style="5" customWidth="1"/>
    <col min="3631" max="3633" width="9.83203125" style="5"/>
    <col min="3634" max="3634" width="8.5" style="5" bestFit="1" customWidth="1"/>
    <col min="3635" max="3845" width="9.83203125" style="5"/>
    <col min="3846" max="3846" width="9" style="5" customWidth="1"/>
    <col min="3847" max="3847" width="14" style="5" customWidth="1"/>
    <col min="3848" max="3850" width="9.83203125" style="5"/>
    <col min="3851" max="3851" width="11.5" style="5" customWidth="1"/>
    <col min="3852" max="3852" width="9.83203125" style="5"/>
    <col min="3853" max="3853" width="8.5" style="5" customWidth="1"/>
    <col min="3854" max="3856" width="10" style="5" customWidth="1"/>
    <col min="3857" max="3857" width="5" style="5" customWidth="1"/>
    <col min="3858" max="3858" width="9.83203125" style="5" customWidth="1"/>
    <col min="3859" max="3862" width="9.83203125" style="5"/>
    <col min="3863" max="3863" width="7.5" style="5" customWidth="1"/>
    <col min="3864" max="3864" width="5" style="5" customWidth="1"/>
    <col min="3865" max="3868" width="9.83203125" style="5"/>
    <col min="3869" max="3869" width="5" style="5" customWidth="1"/>
    <col min="3870" max="3870" width="9.83203125" style="5"/>
    <col min="3871" max="3871" width="10.33203125" style="5" customWidth="1"/>
    <col min="3872" max="3877" width="9.83203125" style="5"/>
    <col min="3878" max="3878" width="11" style="5" customWidth="1"/>
    <col min="3879" max="3879" width="12.33203125" style="5" customWidth="1"/>
    <col min="3880" max="3885" width="9.83203125" style="5"/>
    <col min="3886" max="3886" width="10" style="5" customWidth="1"/>
    <col min="3887" max="3889" width="9.83203125" style="5"/>
    <col min="3890" max="3890" width="8.5" style="5" bestFit="1" customWidth="1"/>
    <col min="3891" max="4101" width="9.83203125" style="5"/>
    <col min="4102" max="4102" width="9" style="5" customWidth="1"/>
    <col min="4103" max="4103" width="14" style="5" customWidth="1"/>
    <col min="4104" max="4106" width="9.83203125" style="5"/>
    <col min="4107" max="4107" width="11.5" style="5" customWidth="1"/>
    <col min="4108" max="4108" width="9.83203125" style="5"/>
    <col min="4109" max="4109" width="8.5" style="5" customWidth="1"/>
    <col min="4110" max="4112" width="10" style="5" customWidth="1"/>
    <col min="4113" max="4113" width="5" style="5" customWidth="1"/>
    <col min="4114" max="4114" width="9.83203125" style="5" customWidth="1"/>
    <col min="4115" max="4118" width="9.83203125" style="5"/>
    <col min="4119" max="4119" width="7.5" style="5" customWidth="1"/>
    <col min="4120" max="4120" width="5" style="5" customWidth="1"/>
    <col min="4121" max="4124" width="9.83203125" style="5"/>
    <col min="4125" max="4125" width="5" style="5" customWidth="1"/>
    <col min="4126" max="4126" width="9.83203125" style="5"/>
    <col min="4127" max="4127" width="10.33203125" style="5" customWidth="1"/>
    <col min="4128" max="4133" width="9.83203125" style="5"/>
    <col min="4134" max="4134" width="11" style="5" customWidth="1"/>
    <col min="4135" max="4135" width="12.33203125" style="5" customWidth="1"/>
    <col min="4136" max="4141" width="9.83203125" style="5"/>
    <col min="4142" max="4142" width="10" style="5" customWidth="1"/>
    <col min="4143" max="4145" width="9.83203125" style="5"/>
    <col min="4146" max="4146" width="8.5" style="5" bestFit="1" customWidth="1"/>
    <col min="4147" max="4357" width="9.83203125" style="5"/>
    <col min="4358" max="4358" width="9" style="5" customWidth="1"/>
    <col min="4359" max="4359" width="14" style="5" customWidth="1"/>
    <col min="4360" max="4362" width="9.83203125" style="5"/>
    <col min="4363" max="4363" width="11.5" style="5" customWidth="1"/>
    <col min="4364" max="4364" width="9.83203125" style="5"/>
    <col min="4365" max="4365" width="8.5" style="5" customWidth="1"/>
    <col min="4366" max="4368" width="10" style="5" customWidth="1"/>
    <col min="4369" max="4369" width="5" style="5" customWidth="1"/>
    <col min="4370" max="4370" width="9.83203125" style="5" customWidth="1"/>
    <col min="4371" max="4374" width="9.83203125" style="5"/>
    <col min="4375" max="4375" width="7.5" style="5" customWidth="1"/>
    <col min="4376" max="4376" width="5" style="5" customWidth="1"/>
    <col min="4377" max="4380" width="9.83203125" style="5"/>
    <col min="4381" max="4381" width="5" style="5" customWidth="1"/>
    <col min="4382" max="4382" width="9.83203125" style="5"/>
    <col min="4383" max="4383" width="10.33203125" style="5" customWidth="1"/>
    <col min="4384" max="4389" width="9.83203125" style="5"/>
    <col min="4390" max="4390" width="11" style="5" customWidth="1"/>
    <col min="4391" max="4391" width="12.33203125" style="5" customWidth="1"/>
    <col min="4392" max="4397" width="9.83203125" style="5"/>
    <col min="4398" max="4398" width="10" style="5" customWidth="1"/>
    <col min="4399" max="4401" width="9.83203125" style="5"/>
    <col min="4402" max="4402" width="8.5" style="5" bestFit="1" customWidth="1"/>
    <col min="4403" max="4613" width="9.83203125" style="5"/>
    <col min="4614" max="4614" width="9" style="5" customWidth="1"/>
    <col min="4615" max="4615" width="14" style="5" customWidth="1"/>
    <col min="4616" max="4618" width="9.83203125" style="5"/>
    <col min="4619" max="4619" width="11.5" style="5" customWidth="1"/>
    <col min="4620" max="4620" width="9.83203125" style="5"/>
    <col min="4621" max="4621" width="8.5" style="5" customWidth="1"/>
    <col min="4622" max="4624" width="10" style="5" customWidth="1"/>
    <col min="4625" max="4625" width="5" style="5" customWidth="1"/>
    <col min="4626" max="4626" width="9.83203125" style="5" customWidth="1"/>
    <col min="4627" max="4630" width="9.83203125" style="5"/>
    <col min="4631" max="4631" width="7.5" style="5" customWidth="1"/>
    <col min="4632" max="4632" width="5" style="5" customWidth="1"/>
    <col min="4633" max="4636" width="9.83203125" style="5"/>
    <col min="4637" max="4637" width="5" style="5" customWidth="1"/>
    <col min="4638" max="4638" width="9.83203125" style="5"/>
    <col min="4639" max="4639" width="10.33203125" style="5" customWidth="1"/>
    <col min="4640" max="4645" width="9.83203125" style="5"/>
    <col min="4646" max="4646" width="11" style="5" customWidth="1"/>
    <col min="4647" max="4647" width="12.33203125" style="5" customWidth="1"/>
    <col min="4648" max="4653" width="9.83203125" style="5"/>
    <col min="4654" max="4654" width="10" style="5" customWidth="1"/>
    <col min="4655" max="4657" width="9.83203125" style="5"/>
    <col min="4658" max="4658" width="8.5" style="5" bestFit="1" customWidth="1"/>
    <col min="4659" max="4869" width="9.83203125" style="5"/>
    <col min="4870" max="4870" width="9" style="5" customWidth="1"/>
    <col min="4871" max="4871" width="14" style="5" customWidth="1"/>
    <col min="4872" max="4874" width="9.83203125" style="5"/>
    <col min="4875" max="4875" width="11.5" style="5" customWidth="1"/>
    <col min="4876" max="4876" width="9.83203125" style="5"/>
    <col min="4877" max="4877" width="8.5" style="5" customWidth="1"/>
    <col min="4878" max="4880" width="10" style="5" customWidth="1"/>
    <col min="4881" max="4881" width="5" style="5" customWidth="1"/>
    <col min="4882" max="4882" width="9.83203125" style="5" customWidth="1"/>
    <col min="4883" max="4886" width="9.83203125" style="5"/>
    <col min="4887" max="4887" width="7.5" style="5" customWidth="1"/>
    <col min="4888" max="4888" width="5" style="5" customWidth="1"/>
    <col min="4889" max="4892" width="9.83203125" style="5"/>
    <col min="4893" max="4893" width="5" style="5" customWidth="1"/>
    <col min="4894" max="4894" width="9.83203125" style="5"/>
    <col min="4895" max="4895" width="10.33203125" style="5" customWidth="1"/>
    <col min="4896" max="4901" width="9.83203125" style="5"/>
    <col min="4902" max="4902" width="11" style="5" customWidth="1"/>
    <col min="4903" max="4903" width="12.33203125" style="5" customWidth="1"/>
    <col min="4904" max="4909" width="9.83203125" style="5"/>
    <col min="4910" max="4910" width="10" style="5" customWidth="1"/>
    <col min="4911" max="4913" width="9.83203125" style="5"/>
    <col min="4914" max="4914" width="8.5" style="5" bestFit="1" customWidth="1"/>
    <col min="4915" max="5125" width="9.83203125" style="5"/>
    <col min="5126" max="5126" width="9" style="5" customWidth="1"/>
    <col min="5127" max="5127" width="14" style="5" customWidth="1"/>
    <col min="5128" max="5130" width="9.83203125" style="5"/>
    <col min="5131" max="5131" width="11.5" style="5" customWidth="1"/>
    <col min="5132" max="5132" width="9.83203125" style="5"/>
    <col min="5133" max="5133" width="8.5" style="5" customWidth="1"/>
    <col min="5134" max="5136" width="10" style="5" customWidth="1"/>
    <col min="5137" max="5137" width="5" style="5" customWidth="1"/>
    <col min="5138" max="5138" width="9.83203125" style="5" customWidth="1"/>
    <col min="5139" max="5142" width="9.83203125" style="5"/>
    <col min="5143" max="5143" width="7.5" style="5" customWidth="1"/>
    <col min="5144" max="5144" width="5" style="5" customWidth="1"/>
    <col min="5145" max="5148" width="9.83203125" style="5"/>
    <col min="5149" max="5149" width="5" style="5" customWidth="1"/>
    <col min="5150" max="5150" width="9.83203125" style="5"/>
    <col min="5151" max="5151" width="10.33203125" style="5" customWidth="1"/>
    <col min="5152" max="5157" width="9.83203125" style="5"/>
    <col min="5158" max="5158" width="11" style="5" customWidth="1"/>
    <col min="5159" max="5159" width="12.33203125" style="5" customWidth="1"/>
    <col min="5160" max="5165" width="9.83203125" style="5"/>
    <col min="5166" max="5166" width="10" style="5" customWidth="1"/>
    <col min="5167" max="5169" width="9.83203125" style="5"/>
    <col min="5170" max="5170" width="8.5" style="5" bestFit="1" customWidth="1"/>
    <col min="5171" max="5381" width="9.83203125" style="5"/>
    <col min="5382" max="5382" width="9" style="5" customWidth="1"/>
    <col min="5383" max="5383" width="14" style="5" customWidth="1"/>
    <col min="5384" max="5386" width="9.83203125" style="5"/>
    <col min="5387" max="5387" width="11.5" style="5" customWidth="1"/>
    <col min="5388" max="5388" width="9.83203125" style="5"/>
    <col min="5389" max="5389" width="8.5" style="5" customWidth="1"/>
    <col min="5390" max="5392" width="10" style="5" customWidth="1"/>
    <col min="5393" max="5393" width="5" style="5" customWidth="1"/>
    <col min="5394" max="5394" width="9.83203125" style="5" customWidth="1"/>
    <col min="5395" max="5398" width="9.83203125" style="5"/>
    <col min="5399" max="5399" width="7.5" style="5" customWidth="1"/>
    <col min="5400" max="5400" width="5" style="5" customWidth="1"/>
    <col min="5401" max="5404" width="9.83203125" style="5"/>
    <col min="5405" max="5405" width="5" style="5" customWidth="1"/>
    <col min="5406" max="5406" width="9.83203125" style="5"/>
    <col min="5407" max="5407" width="10.33203125" style="5" customWidth="1"/>
    <col min="5408" max="5413" width="9.83203125" style="5"/>
    <col min="5414" max="5414" width="11" style="5" customWidth="1"/>
    <col min="5415" max="5415" width="12.33203125" style="5" customWidth="1"/>
    <col min="5416" max="5421" width="9.83203125" style="5"/>
    <col min="5422" max="5422" width="10" style="5" customWidth="1"/>
    <col min="5423" max="5425" width="9.83203125" style="5"/>
    <col min="5426" max="5426" width="8.5" style="5" bestFit="1" customWidth="1"/>
    <col min="5427" max="5637" width="9.83203125" style="5"/>
    <col min="5638" max="5638" width="9" style="5" customWidth="1"/>
    <col min="5639" max="5639" width="14" style="5" customWidth="1"/>
    <col min="5640" max="5642" width="9.83203125" style="5"/>
    <col min="5643" max="5643" width="11.5" style="5" customWidth="1"/>
    <col min="5644" max="5644" width="9.83203125" style="5"/>
    <col min="5645" max="5645" width="8.5" style="5" customWidth="1"/>
    <col min="5646" max="5648" width="10" style="5" customWidth="1"/>
    <col min="5649" max="5649" width="5" style="5" customWidth="1"/>
    <col min="5650" max="5650" width="9.83203125" style="5" customWidth="1"/>
    <col min="5651" max="5654" width="9.83203125" style="5"/>
    <col min="5655" max="5655" width="7.5" style="5" customWidth="1"/>
    <col min="5656" max="5656" width="5" style="5" customWidth="1"/>
    <col min="5657" max="5660" width="9.83203125" style="5"/>
    <col min="5661" max="5661" width="5" style="5" customWidth="1"/>
    <col min="5662" max="5662" width="9.83203125" style="5"/>
    <col min="5663" max="5663" width="10.33203125" style="5" customWidth="1"/>
    <col min="5664" max="5669" width="9.83203125" style="5"/>
    <col min="5670" max="5670" width="11" style="5" customWidth="1"/>
    <col min="5671" max="5671" width="12.33203125" style="5" customWidth="1"/>
    <col min="5672" max="5677" width="9.83203125" style="5"/>
    <col min="5678" max="5678" width="10" style="5" customWidth="1"/>
    <col min="5679" max="5681" width="9.83203125" style="5"/>
    <col min="5682" max="5682" width="8.5" style="5" bestFit="1" customWidth="1"/>
    <col min="5683" max="5893" width="9.83203125" style="5"/>
    <col min="5894" max="5894" width="9" style="5" customWidth="1"/>
    <col min="5895" max="5895" width="14" style="5" customWidth="1"/>
    <col min="5896" max="5898" width="9.83203125" style="5"/>
    <col min="5899" max="5899" width="11.5" style="5" customWidth="1"/>
    <col min="5900" max="5900" width="9.83203125" style="5"/>
    <col min="5901" max="5901" width="8.5" style="5" customWidth="1"/>
    <col min="5902" max="5904" width="10" style="5" customWidth="1"/>
    <col min="5905" max="5905" width="5" style="5" customWidth="1"/>
    <col min="5906" max="5906" width="9.83203125" style="5" customWidth="1"/>
    <col min="5907" max="5910" width="9.83203125" style="5"/>
    <col min="5911" max="5911" width="7.5" style="5" customWidth="1"/>
    <col min="5912" max="5912" width="5" style="5" customWidth="1"/>
    <col min="5913" max="5916" width="9.83203125" style="5"/>
    <col min="5917" max="5917" width="5" style="5" customWidth="1"/>
    <col min="5918" max="5918" width="9.83203125" style="5"/>
    <col min="5919" max="5919" width="10.33203125" style="5" customWidth="1"/>
    <col min="5920" max="5925" width="9.83203125" style="5"/>
    <col min="5926" max="5926" width="11" style="5" customWidth="1"/>
    <col min="5927" max="5927" width="12.33203125" style="5" customWidth="1"/>
    <col min="5928" max="5933" width="9.83203125" style="5"/>
    <col min="5934" max="5934" width="10" style="5" customWidth="1"/>
    <col min="5935" max="5937" width="9.83203125" style="5"/>
    <col min="5938" max="5938" width="8.5" style="5" bestFit="1" customWidth="1"/>
    <col min="5939" max="6149" width="9.83203125" style="5"/>
    <col min="6150" max="6150" width="9" style="5" customWidth="1"/>
    <col min="6151" max="6151" width="14" style="5" customWidth="1"/>
    <col min="6152" max="6154" width="9.83203125" style="5"/>
    <col min="6155" max="6155" width="11.5" style="5" customWidth="1"/>
    <col min="6156" max="6156" width="9.83203125" style="5"/>
    <col min="6157" max="6157" width="8.5" style="5" customWidth="1"/>
    <col min="6158" max="6160" width="10" style="5" customWidth="1"/>
    <col min="6161" max="6161" width="5" style="5" customWidth="1"/>
    <col min="6162" max="6162" width="9.83203125" style="5" customWidth="1"/>
    <col min="6163" max="6166" width="9.83203125" style="5"/>
    <col min="6167" max="6167" width="7.5" style="5" customWidth="1"/>
    <col min="6168" max="6168" width="5" style="5" customWidth="1"/>
    <col min="6169" max="6172" width="9.83203125" style="5"/>
    <col min="6173" max="6173" width="5" style="5" customWidth="1"/>
    <col min="6174" max="6174" width="9.83203125" style="5"/>
    <col min="6175" max="6175" width="10.33203125" style="5" customWidth="1"/>
    <col min="6176" max="6181" width="9.83203125" style="5"/>
    <col min="6182" max="6182" width="11" style="5" customWidth="1"/>
    <col min="6183" max="6183" width="12.33203125" style="5" customWidth="1"/>
    <col min="6184" max="6189" width="9.83203125" style="5"/>
    <col min="6190" max="6190" width="10" style="5" customWidth="1"/>
    <col min="6191" max="6193" width="9.83203125" style="5"/>
    <col min="6194" max="6194" width="8.5" style="5" bestFit="1" customWidth="1"/>
    <col min="6195" max="6405" width="9.83203125" style="5"/>
    <col min="6406" max="6406" width="9" style="5" customWidth="1"/>
    <col min="6407" max="6407" width="14" style="5" customWidth="1"/>
    <col min="6408" max="6410" width="9.83203125" style="5"/>
    <col min="6411" max="6411" width="11.5" style="5" customWidth="1"/>
    <col min="6412" max="6412" width="9.83203125" style="5"/>
    <col min="6413" max="6413" width="8.5" style="5" customWidth="1"/>
    <col min="6414" max="6416" width="10" style="5" customWidth="1"/>
    <col min="6417" max="6417" width="5" style="5" customWidth="1"/>
    <col min="6418" max="6418" width="9.83203125" style="5" customWidth="1"/>
    <col min="6419" max="6422" width="9.83203125" style="5"/>
    <col min="6423" max="6423" width="7.5" style="5" customWidth="1"/>
    <col min="6424" max="6424" width="5" style="5" customWidth="1"/>
    <col min="6425" max="6428" width="9.83203125" style="5"/>
    <col min="6429" max="6429" width="5" style="5" customWidth="1"/>
    <col min="6430" max="6430" width="9.83203125" style="5"/>
    <col min="6431" max="6431" width="10.33203125" style="5" customWidth="1"/>
    <col min="6432" max="6437" width="9.83203125" style="5"/>
    <col min="6438" max="6438" width="11" style="5" customWidth="1"/>
    <col min="6439" max="6439" width="12.33203125" style="5" customWidth="1"/>
    <col min="6440" max="6445" width="9.83203125" style="5"/>
    <col min="6446" max="6446" width="10" style="5" customWidth="1"/>
    <col min="6447" max="6449" width="9.83203125" style="5"/>
    <col min="6450" max="6450" width="8.5" style="5" bestFit="1" customWidth="1"/>
    <col min="6451" max="6661" width="9.83203125" style="5"/>
    <col min="6662" max="6662" width="9" style="5" customWidth="1"/>
    <col min="6663" max="6663" width="14" style="5" customWidth="1"/>
    <col min="6664" max="6666" width="9.83203125" style="5"/>
    <col min="6667" max="6667" width="11.5" style="5" customWidth="1"/>
    <col min="6668" max="6668" width="9.83203125" style="5"/>
    <col min="6669" max="6669" width="8.5" style="5" customWidth="1"/>
    <col min="6670" max="6672" width="10" style="5" customWidth="1"/>
    <col min="6673" max="6673" width="5" style="5" customWidth="1"/>
    <col min="6674" max="6674" width="9.83203125" style="5" customWidth="1"/>
    <col min="6675" max="6678" width="9.83203125" style="5"/>
    <col min="6679" max="6679" width="7.5" style="5" customWidth="1"/>
    <col min="6680" max="6680" width="5" style="5" customWidth="1"/>
    <col min="6681" max="6684" width="9.83203125" style="5"/>
    <col min="6685" max="6685" width="5" style="5" customWidth="1"/>
    <col min="6686" max="6686" width="9.83203125" style="5"/>
    <col min="6687" max="6687" width="10.33203125" style="5" customWidth="1"/>
    <col min="6688" max="6693" width="9.83203125" style="5"/>
    <col min="6694" max="6694" width="11" style="5" customWidth="1"/>
    <col min="6695" max="6695" width="12.33203125" style="5" customWidth="1"/>
    <col min="6696" max="6701" width="9.83203125" style="5"/>
    <col min="6702" max="6702" width="10" style="5" customWidth="1"/>
    <col min="6703" max="6705" width="9.83203125" style="5"/>
    <col min="6706" max="6706" width="8.5" style="5" bestFit="1" customWidth="1"/>
    <col min="6707" max="6917" width="9.83203125" style="5"/>
    <col min="6918" max="6918" width="9" style="5" customWidth="1"/>
    <col min="6919" max="6919" width="14" style="5" customWidth="1"/>
    <col min="6920" max="6922" width="9.83203125" style="5"/>
    <col min="6923" max="6923" width="11.5" style="5" customWidth="1"/>
    <col min="6924" max="6924" width="9.83203125" style="5"/>
    <col min="6925" max="6925" width="8.5" style="5" customWidth="1"/>
    <col min="6926" max="6928" width="10" style="5" customWidth="1"/>
    <col min="6929" max="6929" width="5" style="5" customWidth="1"/>
    <col min="6930" max="6930" width="9.83203125" style="5" customWidth="1"/>
    <col min="6931" max="6934" width="9.83203125" style="5"/>
    <col min="6935" max="6935" width="7.5" style="5" customWidth="1"/>
    <col min="6936" max="6936" width="5" style="5" customWidth="1"/>
    <col min="6937" max="6940" width="9.83203125" style="5"/>
    <col min="6941" max="6941" width="5" style="5" customWidth="1"/>
    <col min="6942" max="6942" width="9.83203125" style="5"/>
    <col min="6943" max="6943" width="10.33203125" style="5" customWidth="1"/>
    <col min="6944" max="6949" width="9.83203125" style="5"/>
    <col min="6950" max="6950" width="11" style="5" customWidth="1"/>
    <col min="6951" max="6951" width="12.33203125" style="5" customWidth="1"/>
    <col min="6952" max="6957" width="9.83203125" style="5"/>
    <col min="6958" max="6958" width="10" style="5" customWidth="1"/>
    <col min="6959" max="6961" width="9.83203125" style="5"/>
    <col min="6962" max="6962" width="8.5" style="5" bestFit="1" customWidth="1"/>
    <col min="6963" max="7173" width="9.83203125" style="5"/>
    <col min="7174" max="7174" width="9" style="5" customWidth="1"/>
    <col min="7175" max="7175" width="14" style="5" customWidth="1"/>
    <col min="7176" max="7178" width="9.83203125" style="5"/>
    <col min="7179" max="7179" width="11.5" style="5" customWidth="1"/>
    <col min="7180" max="7180" width="9.83203125" style="5"/>
    <col min="7181" max="7181" width="8.5" style="5" customWidth="1"/>
    <col min="7182" max="7184" width="10" style="5" customWidth="1"/>
    <col min="7185" max="7185" width="5" style="5" customWidth="1"/>
    <col min="7186" max="7186" width="9.83203125" style="5" customWidth="1"/>
    <col min="7187" max="7190" width="9.83203125" style="5"/>
    <col min="7191" max="7191" width="7.5" style="5" customWidth="1"/>
    <col min="7192" max="7192" width="5" style="5" customWidth="1"/>
    <col min="7193" max="7196" width="9.83203125" style="5"/>
    <col min="7197" max="7197" width="5" style="5" customWidth="1"/>
    <col min="7198" max="7198" width="9.83203125" style="5"/>
    <col min="7199" max="7199" width="10.33203125" style="5" customWidth="1"/>
    <col min="7200" max="7205" width="9.83203125" style="5"/>
    <col min="7206" max="7206" width="11" style="5" customWidth="1"/>
    <col min="7207" max="7207" width="12.33203125" style="5" customWidth="1"/>
    <col min="7208" max="7213" width="9.83203125" style="5"/>
    <col min="7214" max="7214" width="10" style="5" customWidth="1"/>
    <col min="7215" max="7217" width="9.83203125" style="5"/>
    <col min="7218" max="7218" width="8.5" style="5" bestFit="1" customWidth="1"/>
    <col min="7219" max="7429" width="9.83203125" style="5"/>
    <col min="7430" max="7430" width="9" style="5" customWidth="1"/>
    <col min="7431" max="7431" width="14" style="5" customWidth="1"/>
    <col min="7432" max="7434" width="9.83203125" style="5"/>
    <col min="7435" max="7435" width="11.5" style="5" customWidth="1"/>
    <col min="7436" max="7436" width="9.83203125" style="5"/>
    <col min="7437" max="7437" width="8.5" style="5" customWidth="1"/>
    <col min="7438" max="7440" width="10" style="5" customWidth="1"/>
    <col min="7441" max="7441" width="5" style="5" customWidth="1"/>
    <col min="7442" max="7442" width="9.83203125" style="5" customWidth="1"/>
    <col min="7443" max="7446" width="9.83203125" style="5"/>
    <col min="7447" max="7447" width="7.5" style="5" customWidth="1"/>
    <col min="7448" max="7448" width="5" style="5" customWidth="1"/>
    <col min="7449" max="7452" width="9.83203125" style="5"/>
    <col min="7453" max="7453" width="5" style="5" customWidth="1"/>
    <col min="7454" max="7454" width="9.83203125" style="5"/>
    <col min="7455" max="7455" width="10.33203125" style="5" customWidth="1"/>
    <col min="7456" max="7461" width="9.83203125" style="5"/>
    <col min="7462" max="7462" width="11" style="5" customWidth="1"/>
    <col min="7463" max="7463" width="12.33203125" style="5" customWidth="1"/>
    <col min="7464" max="7469" width="9.83203125" style="5"/>
    <col min="7470" max="7470" width="10" style="5" customWidth="1"/>
    <col min="7471" max="7473" width="9.83203125" style="5"/>
    <col min="7474" max="7474" width="8.5" style="5" bestFit="1" customWidth="1"/>
    <col min="7475" max="7685" width="9.83203125" style="5"/>
    <col min="7686" max="7686" width="9" style="5" customWidth="1"/>
    <col min="7687" max="7687" width="14" style="5" customWidth="1"/>
    <col min="7688" max="7690" width="9.83203125" style="5"/>
    <col min="7691" max="7691" width="11.5" style="5" customWidth="1"/>
    <col min="7692" max="7692" width="9.83203125" style="5"/>
    <col min="7693" max="7693" width="8.5" style="5" customWidth="1"/>
    <col min="7694" max="7696" width="10" style="5" customWidth="1"/>
    <col min="7697" max="7697" width="5" style="5" customWidth="1"/>
    <col min="7698" max="7698" width="9.83203125" style="5" customWidth="1"/>
    <col min="7699" max="7702" width="9.83203125" style="5"/>
    <col min="7703" max="7703" width="7.5" style="5" customWidth="1"/>
    <col min="7704" max="7704" width="5" style="5" customWidth="1"/>
    <col min="7705" max="7708" width="9.83203125" style="5"/>
    <col min="7709" max="7709" width="5" style="5" customWidth="1"/>
    <col min="7710" max="7710" width="9.83203125" style="5"/>
    <col min="7711" max="7711" width="10.33203125" style="5" customWidth="1"/>
    <col min="7712" max="7717" width="9.83203125" style="5"/>
    <col min="7718" max="7718" width="11" style="5" customWidth="1"/>
    <col min="7719" max="7719" width="12.33203125" style="5" customWidth="1"/>
    <col min="7720" max="7725" width="9.83203125" style="5"/>
    <col min="7726" max="7726" width="10" style="5" customWidth="1"/>
    <col min="7727" max="7729" width="9.83203125" style="5"/>
    <col min="7730" max="7730" width="8.5" style="5" bestFit="1" customWidth="1"/>
    <col min="7731" max="7941" width="9.83203125" style="5"/>
    <col min="7942" max="7942" width="9" style="5" customWidth="1"/>
    <col min="7943" max="7943" width="14" style="5" customWidth="1"/>
    <col min="7944" max="7946" width="9.83203125" style="5"/>
    <col min="7947" max="7947" width="11.5" style="5" customWidth="1"/>
    <col min="7948" max="7948" width="9.83203125" style="5"/>
    <col min="7949" max="7949" width="8.5" style="5" customWidth="1"/>
    <col min="7950" max="7952" width="10" style="5" customWidth="1"/>
    <col min="7953" max="7953" width="5" style="5" customWidth="1"/>
    <col min="7954" max="7954" width="9.83203125" style="5" customWidth="1"/>
    <col min="7955" max="7958" width="9.83203125" style="5"/>
    <col min="7959" max="7959" width="7.5" style="5" customWidth="1"/>
    <col min="7960" max="7960" width="5" style="5" customWidth="1"/>
    <col min="7961" max="7964" width="9.83203125" style="5"/>
    <col min="7965" max="7965" width="5" style="5" customWidth="1"/>
    <col min="7966" max="7966" width="9.83203125" style="5"/>
    <col min="7967" max="7967" width="10.33203125" style="5" customWidth="1"/>
    <col min="7968" max="7973" width="9.83203125" style="5"/>
    <col min="7974" max="7974" width="11" style="5" customWidth="1"/>
    <col min="7975" max="7975" width="12.33203125" style="5" customWidth="1"/>
    <col min="7976" max="7981" width="9.83203125" style="5"/>
    <col min="7982" max="7982" width="10" style="5" customWidth="1"/>
    <col min="7983" max="7985" width="9.83203125" style="5"/>
    <col min="7986" max="7986" width="8.5" style="5" bestFit="1" customWidth="1"/>
    <col min="7987" max="8197" width="9.83203125" style="5"/>
    <col min="8198" max="8198" width="9" style="5" customWidth="1"/>
    <col min="8199" max="8199" width="14" style="5" customWidth="1"/>
    <col min="8200" max="8202" width="9.83203125" style="5"/>
    <col min="8203" max="8203" width="11.5" style="5" customWidth="1"/>
    <col min="8204" max="8204" width="9.83203125" style="5"/>
    <col min="8205" max="8205" width="8.5" style="5" customWidth="1"/>
    <col min="8206" max="8208" width="10" style="5" customWidth="1"/>
    <col min="8209" max="8209" width="5" style="5" customWidth="1"/>
    <col min="8210" max="8210" width="9.83203125" style="5" customWidth="1"/>
    <col min="8211" max="8214" width="9.83203125" style="5"/>
    <col min="8215" max="8215" width="7.5" style="5" customWidth="1"/>
    <col min="8216" max="8216" width="5" style="5" customWidth="1"/>
    <col min="8217" max="8220" width="9.83203125" style="5"/>
    <col min="8221" max="8221" width="5" style="5" customWidth="1"/>
    <col min="8222" max="8222" width="9.83203125" style="5"/>
    <col min="8223" max="8223" width="10.33203125" style="5" customWidth="1"/>
    <col min="8224" max="8229" width="9.83203125" style="5"/>
    <col min="8230" max="8230" width="11" style="5" customWidth="1"/>
    <col min="8231" max="8231" width="12.33203125" style="5" customWidth="1"/>
    <col min="8232" max="8237" width="9.83203125" style="5"/>
    <col min="8238" max="8238" width="10" style="5" customWidth="1"/>
    <col min="8239" max="8241" width="9.83203125" style="5"/>
    <col min="8242" max="8242" width="8.5" style="5" bestFit="1" customWidth="1"/>
    <col min="8243" max="8453" width="9.83203125" style="5"/>
    <col min="8454" max="8454" width="9" style="5" customWidth="1"/>
    <col min="8455" max="8455" width="14" style="5" customWidth="1"/>
    <col min="8456" max="8458" width="9.83203125" style="5"/>
    <col min="8459" max="8459" width="11.5" style="5" customWidth="1"/>
    <col min="8460" max="8460" width="9.83203125" style="5"/>
    <col min="8461" max="8461" width="8.5" style="5" customWidth="1"/>
    <col min="8462" max="8464" width="10" style="5" customWidth="1"/>
    <col min="8465" max="8465" width="5" style="5" customWidth="1"/>
    <col min="8466" max="8466" width="9.83203125" style="5" customWidth="1"/>
    <col min="8467" max="8470" width="9.83203125" style="5"/>
    <col min="8471" max="8471" width="7.5" style="5" customWidth="1"/>
    <col min="8472" max="8472" width="5" style="5" customWidth="1"/>
    <col min="8473" max="8476" width="9.83203125" style="5"/>
    <col min="8477" max="8477" width="5" style="5" customWidth="1"/>
    <col min="8478" max="8478" width="9.83203125" style="5"/>
    <col min="8479" max="8479" width="10.33203125" style="5" customWidth="1"/>
    <col min="8480" max="8485" width="9.83203125" style="5"/>
    <col min="8486" max="8486" width="11" style="5" customWidth="1"/>
    <col min="8487" max="8487" width="12.33203125" style="5" customWidth="1"/>
    <col min="8488" max="8493" width="9.83203125" style="5"/>
    <col min="8494" max="8494" width="10" style="5" customWidth="1"/>
    <col min="8495" max="8497" width="9.83203125" style="5"/>
    <col min="8498" max="8498" width="8.5" style="5" bestFit="1" customWidth="1"/>
    <col min="8499" max="8709" width="9.83203125" style="5"/>
    <col min="8710" max="8710" width="9" style="5" customWidth="1"/>
    <col min="8711" max="8711" width="14" style="5" customWidth="1"/>
    <col min="8712" max="8714" width="9.83203125" style="5"/>
    <col min="8715" max="8715" width="11.5" style="5" customWidth="1"/>
    <col min="8716" max="8716" width="9.83203125" style="5"/>
    <col min="8717" max="8717" width="8.5" style="5" customWidth="1"/>
    <col min="8718" max="8720" width="10" style="5" customWidth="1"/>
    <col min="8721" max="8721" width="5" style="5" customWidth="1"/>
    <col min="8722" max="8722" width="9.83203125" style="5" customWidth="1"/>
    <col min="8723" max="8726" width="9.83203125" style="5"/>
    <col min="8727" max="8727" width="7.5" style="5" customWidth="1"/>
    <col min="8728" max="8728" width="5" style="5" customWidth="1"/>
    <col min="8729" max="8732" width="9.83203125" style="5"/>
    <col min="8733" max="8733" width="5" style="5" customWidth="1"/>
    <col min="8734" max="8734" width="9.83203125" style="5"/>
    <col min="8735" max="8735" width="10.33203125" style="5" customWidth="1"/>
    <col min="8736" max="8741" width="9.83203125" style="5"/>
    <col min="8742" max="8742" width="11" style="5" customWidth="1"/>
    <col min="8743" max="8743" width="12.33203125" style="5" customWidth="1"/>
    <col min="8744" max="8749" width="9.83203125" style="5"/>
    <col min="8750" max="8750" width="10" style="5" customWidth="1"/>
    <col min="8751" max="8753" width="9.83203125" style="5"/>
    <col min="8754" max="8754" width="8.5" style="5" bestFit="1" customWidth="1"/>
    <col min="8755" max="8965" width="9.83203125" style="5"/>
    <col min="8966" max="8966" width="9" style="5" customWidth="1"/>
    <col min="8967" max="8967" width="14" style="5" customWidth="1"/>
    <col min="8968" max="8970" width="9.83203125" style="5"/>
    <col min="8971" max="8971" width="11.5" style="5" customWidth="1"/>
    <col min="8972" max="8972" width="9.83203125" style="5"/>
    <col min="8973" max="8973" width="8.5" style="5" customWidth="1"/>
    <col min="8974" max="8976" width="10" style="5" customWidth="1"/>
    <col min="8977" max="8977" width="5" style="5" customWidth="1"/>
    <col min="8978" max="8978" width="9.83203125" style="5" customWidth="1"/>
    <col min="8979" max="8982" width="9.83203125" style="5"/>
    <col min="8983" max="8983" width="7.5" style="5" customWidth="1"/>
    <col min="8984" max="8984" width="5" style="5" customWidth="1"/>
    <col min="8985" max="8988" width="9.83203125" style="5"/>
    <col min="8989" max="8989" width="5" style="5" customWidth="1"/>
    <col min="8990" max="8990" width="9.83203125" style="5"/>
    <col min="8991" max="8991" width="10.33203125" style="5" customWidth="1"/>
    <col min="8992" max="8997" width="9.83203125" style="5"/>
    <col min="8998" max="8998" width="11" style="5" customWidth="1"/>
    <col min="8999" max="8999" width="12.33203125" style="5" customWidth="1"/>
    <col min="9000" max="9005" width="9.83203125" style="5"/>
    <col min="9006" max="9006" width="10" style="5" customWidth="1"/>
    <col min="9007" max="9009" width="9.83203125" style="5"/>
    <col min="9010" max="9010" width="8.5" style="5" bestFit="1" customWidth="1"/>
    <col min="9011" max="9221" width="9.83203125" style="5"/>
    <col min="9222" max="9222" width="9" style="5" customWidth="1"/>
    <col min="9223" max="9223" width="14" style="5" customWidth="1"/>
    <col min="9224" max="9226" width="9.83203125" style="5"/>
    <col min="9227" max="9227" width="11.5" style="5" customWidth="1"/>
    <col min="9228" max="9228" width="9.83203125" style="5"/>
    <col min="9229" max="9229" width="8.5" style="5" customWidth="1"/>
    <col min="9230" max="9232" width="10" style="5" customWidth="1"/>
    <col min="9233" max="9233" width="5" style="5" customWidth="1"/>
    <col min="9234" max="9234" width="9.83203125" style="5" customWidth="1"/>
    <col min="9235" max="9238" width="9.83203125" style="5"/>
    <col min="9239" max="9239" width="7.5" style="5" customWidth="1"/>
    <col min="9240" max="9240" width="5" style="5" customWidth="1"/>
    <col min="9241" max="9244" width="9.83203125" style="5"/>
    <col min="9245" max="9245" width="5" style="5" customWidth="1"/>
    <col min="9246" max="9246" width="9.83203125" style="5"/>
    <col min="9247" max="9247" width="10.33203125" style="5" customWidth="1"/>
    <col min="9248" max="9253" width="9.83203125" style="5"/>
    <col min="9254" max="9254" width="11" style="5" customWidth="1"/>
    <col min="9255" max="9255" width="12.33203125" style="5" customWidth="1"/>
    <col min="9256" max="9261" width="9.83203125" style="5"/>
    <col min="9262" max="9262" width="10" style="5" customWidth="1"/>
    <col min="9263" max="9265" width="9.83203125" style="5"/>
    <col min="9266" max="9266" width="8.5" style="5" bestFit="1" customWidth="1"/>
    <col min="9267" max="9477" width="9.83203125" style="5"/>
    <col min="9478" max="9478" width="9" style="5" customWidth="1"/>
    <col min="9479" max="9479" width="14" style="5" customWidth="1"/>
    <col min="9480" max="9482" width="9.83203125" style="5"/>
    <col min="9483" max="9483" width="11.5" style="5" customWidth="1"/>
    <col min="9484" max="9484" width="9.83203125" style="5"/>
    <col min="9485" max="9485" width="8.5" style="5" customWidth="1"/>
    <col min="9486" max="9488" width="10" style="5" customWidth="1"/>
    <col min="9489" max="9489" width="5" style="5" customWidth="1"/>
    <col min="9490" max="9490" width="9.83203125" style="5" customWidth="1"/>
    <col min="9491" max="9494" width="9.83203125" style="5"/>
    <col min="9495" max="9495" width="7.5" style="5" customWidth="1"/>
    <col min="9496" max="9496" width="5" style="5" customWidth="1"/>
    <col min="9497" max="9500" width="9.83203125" style="5"/>
    <col min="9501" max="9501" width="5" style="5" customWidth="1"/>
    <col min="9502" max="9502" width="9.83203125" style="5"/>
    <col min="9503" max="9503" width="10.33203125" style="5" customWidth="1"/>
    <col min="9504" max="9509" width="9.83203125" style="5"/>
    <col min="9510" max="9510" width="11" style="5" customWidth="1"/>
    <col min="9511" max="9511" width="12.33203125" style="5" customWidth="1"/>
    <col min="9512" max="9517" width="9.83203125" style="5"/>
    <col min="9518" max="9518" width="10" style="5" customWidth="1"/>
    <col min="9519" max="9521" width="9.83203125" style="5"/>
    <col min="9522" max="9522" width="8.5" style="5" bestFit="1" customWidth="1"/>
    <col min="9523" max="9733" width="9.83203125" style="5"/>
    <col min="9734" max="9734" width="9" style="5" customWidth="1"/>
    <col min="9735" max="9735" width="14" style="5" customWidth="1"/>
    <col min="9736" max="9738" width="9.83203125" style="5"/>
    <col min="9739" max="9739" width="11.5" style="5" customWidth="1"/>
    <col min="9740" max="9740" width="9.83203125" style="5"/>
    <col min="9741" max="9741" width="8.5" style="5" customWidth="1"/>
    <col min="9742" max="9744" width="10" style="5" customWidth="1"/>
    <col min="9745" max="9745" width="5" style="5" customWidth="1"/>
    <col min="9746" max="9746" width="9.83203125" style="5" customWidth="1"/>
    <col min="9747" max="9750" width="9.83203125" style="5"/>
    <col min="9751" max="9751" width="7.5" style="5" customWidth="1"/>
    <col min="9752" max="9752" width="5" style="5" customWidth="1"/>
    <col min="9753" max="9756" width="9.83203125" style="5"/>
    <col min="9757" max="9757" width="5" style="5" customWidth="1"/>
    <col min="9758" max="9758" width="9.83203125" style="5"/>
    <col min="9759" max="9759" width="10.33203125" style="5" customWidth="1"/>
    <col min="9760" max="9765" width="9.83203125" style="5"/>
    <col min="9766" max="9766" width="11" style="5" customWidth="1"/>
    <col min="9767" max="9767" width="12.33203125" style="5" customWidth="1"/>
    <col min="9768" max="9773" width="9.83203125" style="5"/>
    <col min="9774" max="9774" width="10" style="5" customWidth="1"/>
    <col min="9775" max="9777" width="9.83203125" style="5"/>
    <col min="9778" max="9778" width="8.5" style="5" bestFit="1" customWidth="1"/>
    <col min="9779" max="9989" width="9.83203125" style="5"/>
    <col min="9990" max="9990" width="9" style="5" customWidth="1"/>
    <col min="9991" max="9991" width="14" style="5" customWidth="1"/>
    <col min="9992" max="9994" width="9.83203125" style="5"/>
    <col min="9995" max="9995" width="11.5" style="5" customWidth="1"/>
    <col min="9996" max="9996" width="9.83203125" style="5"/>
    <col min="9997" max="9997" width="8.5" style="5" customWidth="1"/>
    <col min="9998" max="10000" width="10" style="5" customWidth="1"/>
    <col min="10001" max="10001" width="5" style="5" customWidth="1"/>
    <col min="10002" max="10002" width="9.83203125" style="5" customWidth="1"/>
    <col min="10003" max="10006" width="9.83203125" style="5"/>
    <col min="10007" max="10007" width="7.5" style="5" customWidth="1"/>
    <col min="10008" max="10008" width="5" style="5" customWidth="1"/>
    <col min="10009" max="10012" width="9.83203125" style="5"/>
    <col min="10013" max="10013" width="5" style="5" customWidth="1"/>
    <col min="10014" max="10014" width="9.83203125" style="5"/>
    <col min="10015" max="10015" width="10.33203125" style="5" customWidth="1"/>
    <col min="10016" max="10021" width="9.83203125" style="5"/>
    <col min="10022" max="10022" width="11" style="5" customWidth="1"/>
    <col min="10023" max="10023" width="12.33203125" style="5" customWidth="1"/>
    <col min="10024" max="10029" width="9.83203125" style="5"/>
    <col min="10030" max="10030" width="10" style="5" customWidth="1"/>
    <col min="10031" max="10033" width="9.83203125" style="5"/>
    <col min="10034" max="10034" width="8.5" style="5" bestFit="1" customWidth="1"/>
    <col min="10035" max="10245" width="9.83203125" style="5"/>
    <col min="10246" max="10246" width="9" style="5" customWidth="1"/>
    <col min="10247" max="10247" width="14" style="5" customWidth="1"/>
    <col min="10248" max="10250" width="9.83203125" style="5"/>
    <col min="10251" max="10251" width="11.5" style="5" customWidth="1"/>
    <col min="10252" max="10252" width="9.83203125" style="5"/>
    <col min="10253" max="10253" width="8.5" style="5" customWidth="1"/>
    <col min="10254" max="10256" width="10" style="5" customWidth="1"/>
    <col min="10257" max="10257" width="5" style="5" customWidth="1"/>
    <col min="10258" max="10258" width="9.83203125" style="5" customWidth="1"/>
    <col min="10259" max="10262" width="9.83203125" style="5"/>
    <col min="10263" max="10263" width="7.5" style="5" customWidth="1"/>
    <col min="10264" max="10264" width="5" style="5" customWidth="1"/>
    <col min="10265" max="10268" width="9.83203125" style="5"/>
    <col min="10269" max="10269" width="5" style="5" customWidth="1"/>
    <col min="10270" max="10270" width="9.83203125" style="5"/>
    <col min="10271" max="10271" width="10.33203125" style="5" customWidth="1"/>
    <col min="10272" max="10277" width="9.83203125" style="5"/>
    <col min="10278" max="10278" width="11" style="5" customWidth="1"/>
    <col min="10279" max="10279" width="12.33203125" style="5" customWidth="1"/>
    <col min="10280" max="10285" width="9.83203125" style="5"/>
    <col min="10286" max="10286" width="10" style="5" customWidth="1"/>
    <col min="10287" max="10289" width="9.83203125" style="5"/>
    <col min="10290" max="10290" width="8.5" style="5" bestFit="1" customWidth="1"/>
    <col min="10291" max="10501" width="9.83203125" style="5"/>
    <col min="10502" max="10502" width="9" style="5" customWidth="1"/>
    <col min="10503" max="10503" width="14" style="5" customWidth="1"/>
    <col min="10504" max="10506" width="9.83203125" style="5"/>
    <col min="10507" max="10507" width="11.5" style="5" customWidth="1"/>
    <col min="10508" max="10508" width="9.83203125" style="5"/>
    <col min="10509" max="10509" width="8.5" style="5" customWidth="1"/>
    <col min="10510" max="10512" width="10" style="5" customWidth="1"/>
    <col min="10513" max="10513" width="5" style="5" customWidth="1"/>
    <col min="10514" max="10514" width="9.83203125" style="5" customWidth="1"/>
    <col min="10515" max="10518" width="9.83203125" style="5"/>
    <col min="10519" max="10519" width="7.5" style="5" customWidth="1"/>
    <col min="10520" max="10520" width="5" style="5" customWidth="1"/>
    <col min="10521" max="10524" width="9.83203125" style="5"/>
    <col min="10525" max="10525" width="5" style="5" customWidth="1"/>
    <col min="10526" max="10526" width="9.83203125" style="5"/>
    <col min="10527" max="10527" width="10.33203125" style="5" customWidth="1"/>
    <col min="10528" max="10533" width="9.83203125" style="5"/>
    <col min="10534" max="10534" width="11" style="5" customWidth="1"/>
    <col min="10535" max="10535" width="12.33203125" style="5" customWidth="1"/>
    <col min="10536" max="10541" width="9.83203125" style="5"/>
    <col min="10542" max="10542" width="10" style="5" customWidth="1"/>
    <col min="10543" max="10545" width="9.83203125" style="5"/>
    <col min="10546" max="10546" width="8.5" style="5" bestFit="1" customWidth="1"/>
    <col min="10547" max="10757" width="9.83203125" style="5"/>
    <col min="10758" max="10758" width="9" style="5" customWidth="1"/>
    <col min="10759" max="10759" width="14" style="5" customWidth="1"/>
    <col min="10760" max="10762" width="9.83203125" style="5"/>
    <col min="10763" max="10763" width="11.5" style="5" customWidth="1"/>
    <col min="10764" max="10764" width="9.83203125" style="5"/>
    <col min="10765" max="10765" width="8.5" style="5" customWidth="1"/>
    <col min="10766" max="10768" width="10" style="5" customWidth="1"/>
    <col min="10769" max="10769" width="5" style="5" customWidth="1"/>
    <col min="10770" max="10770" width="9.83203125" style="5" customWidth="1"/>
    <col min="10771" max="10774" width="9.83203125" style="5"/>
    <col min="10775" max="10775" width="7.5" style="5" customWidth="1"/>
    <col min="10776" max="10776" width="5" style="5" customWidth="1"/>
    <col min="10777" max="10780" width="9.83203125" style="5"/>
    <col min="10781" max="10781" width="5" style="5" customWidth="1"/>
    <col min="10782" max="10782" width="9.83203125" style="5"/>
    <col min="10783" max="10783" width="10.33203125" style="5" customWidth="1"/>
    <col min="10784" max="10789" width="9.83203125" style="5"/>
    <col min="10790" max="10790" width="11" style="5" customWidth="1"/>
    <col min="10791" max="10791" width="12.33203125" style="5" customWidth="1"/>
    <col min="10792" max="10797" width="9.83203125" style="5"/>
    <col min="10798" max="10798" width="10" style="5" customWidth="1"/>
    <col min="10799" max="10801" width="9.83203125" style="5"/>
    <col min="10802" max="10802" width="8.5" style="5" bestFit="1" customWidth="1"/>
    <col min="10803" max="11013" width="9.83203125" style="5"/>
    <col min="11014" max="11014" width="9" style="5" customWidth="1"/>
    <col min="11015" max="11015" width="14" style="5" customWidth="1"/>
    <col min="11016" max="11018" width="9.83203125" style="5"/>
    <col min="11019" max="11019" width="11.5" style="5" customWidth="1"/>
    <col min="11020" max="11020" width="9.83203125" style="5"/>
    <col min="11021" max="11021" width="8.5" style="5" customWidth="1"/>
    <col min="11022" max="11024" width="10" style="5" customWidth="1"/>
    <col min="11025" max="11025" width="5" style="5" customWidth="1"/>
    <col min="11026" max="11026" width="9.83203125" style="5" customWidth="1"/>
    <col min="11027" max="11030" width="9.83203125" style="5"/>
    <col min="11031" max="11031" width="7.5" style="5" customWidth="1"/>
    <col min="11032" max="11032" width="5" style="5" customWidth="1"/>
    <col min="11033" max="11036" width="9.83203125" style="5"/>
    <col min="11037" max="11037" width="5" style="5" customWidth="1"/>
    <col min="11038" max="11038" width="9.83203125" style="5"/>
    <col min="11039" max="11039" width="10.33203125" style="5" customWidth="1"/>
    <col min="11040" max="11045" width="9.83203125" style="5"/>
    <col min="11046" max="11046" width="11" style="5" customWidth="1"/>
    <col min="11047" max="11047" width="12.33203125" style="5" customWidth="1"/>
    <col min="11048" max="11053" width="9.83203125" style="5"/>
    <col min="11054" max="11054" width="10" style="5" customWidth="1"/>
    <col min="11055" max="11057" width="9.83203125" style="5"/>
    <col min="11058" max="11058" width="8.5" style="5" bestFit="1" customWidth="1"/>
    <col min="11059" max="11269" width="9.83203125" style="5"/>
    <col min="11270" max="11270" width="9" style="5" customWidth="1"/>
    <col min="11271" max="11271" width="14" style="5" customWidth="1"/>
    <col min="11272" max="11274" width="9.83203125" style="5"/>
    <col min="11275" max="11275" width="11.5" style="5" customWidth="1"/>
    <col min="11276" max="11276" width="9.83203125" style="5"/>
    <col min="11277" max="11277" width="8.5" style="5" customWidth="1"/>
    <col min="11278" max="11280" width="10" style="5" customWidth="1"/>
    <col min="11281" max="11281" width="5" style="5" customWidth="1"/>
    <col min="11282" max="11282" width="9.83203125" style="5" customWidth="1"/>
    <col min="11283" max="11286" width="9.83203125" style="5"/>
    <col min="11287" max="11287" width="7.5" style="5" customWidth="1"/>
    <col min="11288" max="11288" width="5" style="5" customWidth="1"/>
    <col min="11289" max="11292" width="9.83203125" style="5"/>
    <col min="11293" max="11293" width="5" style="5" customWidth="1"/>
    <col min="11294" max="11294" width="9.83203125" style="5"/>
    <col min="11295" max="11295" width="10.33203125" style="5" customWidth="1"/>
    <col min="11296" max="11301" width="9.83203125" style="5"/>
    <col min="11302" max="11302" width="11" style="5" customWidth="1"/>
    <col min="11303" max="11303" width="12.33203125" style="5" customWidth="1"/>
    <col min="11304" max="11309" width="9.83203125" style="5"/>
    <col min="11310" max="11310" width="10" style="5" customWidth="1"/>
    <col min="11311" max="11313" width="9.83203125" style="5"/>
    <col min="11314" max="11314" width="8.5" style="5" bestFit="1" customWidth="1"/>
    <col min="11315" max="11525" width="9.83203125" style="5"/>
    <col min="11526" max="11526" width="9" style="5" customWidth="1"/>
    <col min="11527" max="11527" width="14" style="5" customWidth="1"/>
    <col min="11528" max="11530" width="9.83203125" style="5"/>
    <col min="11531" max="11531" width="11.5" style="5" customWidth="1"/>
    <col min="11532" max="11532" width="9.83203125" style="5"/>
    <col min="11533" max="11533" width="8.5" style="5" customWidth="1"/>
    <col min="11534" max="11536" width="10" style="5" customWidth="1"/>
    <col min="11537" max="11537" width="5" style="5" customWidth="1"/>
    <col min="11538" max="11538" width="9.83203125" style="5" customWidth="1"/>
    <col min="11539" max="11542" width="9.83203125" style="5"/>
    <col min="11543" max="11543" width="7.5" style="5" customWidth="1"/>
    <col min="11544" max="11544" width="5" style="5" customWidth="1"/>
    <col min="11545" max="11548" width="9.83203125" style="5"/>
    <col min="11549" max="11549" width="5" style="5" customWidth="1"/>
    <col min="11550" max="11550" width="9.83203125" style="5"/>
    <col min="11551" max="11551" width="10.33203125" style="5" customWidth="1"/>
    <col min="11552" max="11557" width="9.83203125" style="5"/>
    <col min="11558" max="11558" width="11" style="5" customWidth="1"/>
    <col min="11559" max="11559" width="12.33203125" style="5" customWidth="1"/>
    <col min="11560" max="11565" width="9.83203125" style="5"/>
    <col min="11566" max="11566" width="10" style="5" customWidth="1"/>
    <col min="11567" max="11569" width="9.83203125" style="5"/>
    <col min="11570" max="11570" width="8.5" style="5" bestFit="1" customWidth="1"/>
    <col min="11571" max="11781" width="9.83203125" style="5"/>
    <col min="11782" max="11782" width="9" style="5" customWidth="1"/>
    <col min="11783" max="11783" width="14" style="5" customWidth="1"/>
    <col min="11784" max="11786" width="9.83203125" style="5"/>
    <col min="11787" max="11787" width="11.5" style="5" customWidth="1"/>
    <col min="11788" max="11788" width="9.83203125" style="5"/>
    <col min="11789" max="11789" width="8.5" style="5" customWidth="1"/>
    <col min="11790" max="11792" width="10" style="5" customWidth="1"/>
    <col min="11793" max="11793" width="5" style="5" customWidth="1"/>
    <col min="11794" max="11794" width="9.83203125" style="5" customWidth="1"/>
    <col min="11795" max="11798" width="9.83203125" style="5"/>
    <col min="11799" max="11799" width="7.5" style="5" customWidth="1"/>
    <col min="11800" max="11800" width="5" style="5" customWidth="1"/>
    <col min="11801" max="11804" width="9.83203125" style="5"/>
    <col min="11805" max="11805" width="5" style="5" customWidth="1"/>
    <col min="11806" max="11806" width="9.83203125" style="5"/>
    <col min="11807" max="11807" width="10.33203125" style="5" customWidth="1"/>
    <col min="11808" max="11813" width="9.83203125" style="5"/>
    <col min="11814" max="11814" width="11" style="5" customWidth="1"/>
    <col min="11815" max="11815" width="12.33203125" style="5" customWidth="1"/>
    <col min="11816" max="11821" width="9.83203125" style="5"/>
    <col min="11822" max="11822" width="10" style="5" customWidth="1"/>
    <col min="11823" max="11825" width="9.83203125" style="5"/>
    <col min="11826" max="11826" width="8.5" style="5" bestFit="1" customWidth="1"/>
    <col min="11827" max="12037" width="9.83203125" style="5"/>
    <col min="12038" max="12038" width="9" style="5" customWidth="1"/>
    <col min="12039" max="12039" width="14" style="5" customWidth="1"/>
    <col min="12040" max="12042" width="9.83203125" style="5"/>
    <col min="12043" max="12043" width="11.5" style="5" customWidth="1"/>
    <col min="12044" max="12044" width="9.83203125" style="5"/>
    <col min="12045" max="12045" width="8.5" style="5" customWidth="1"/>
    <col min="12046" max="12048" width="10" style="5" customWidth="1"/>
    <col min="12049" max="12049" width="5" style="5" customWidth="1"/>
    <col min="12050" max="12050" width="9.83203125" style="5" customWidth="1"/>
    <col min="12051" max="12054" width="9.83203125" style="5"/>
    <col min="12055" max="12055" width="7.5" style="5" customWidth="1"/>
    <col min="12056" max="12056" width="5" style="5" customWidth="1"/>
    <col min="12057" max="12060" width="9.83203125" style="5"/>
    <col min="12061" max="12061" width="5" style="5" customWidth="1"/>
    <col min="12062" max="12062" width="9.83203125" style="5"/>
    <col min="12063" max="12063" width="10.33203125" style="5" customWidth="1"/>
    <col min="12064" max="12069" width="9.83203125" style="5"/>
    <col min="12070" max="12070" width="11" style="5" customWidth="1"/>
    <col min="12071" max="12071" width="12.33203125" style="5" customWidth="1"/>
    <col min="12072" max="12077" width="9.83203125" style="5"/>
    <col min="12078" max="12078" width="10" style="5" customWidth="1"/>
    <col min="12079" max="12081" width="9.83203125" style="5"/>
    <col min="12082" max="12082" width="8.5" style="5" bestFit="1" customWidth="1"/>
    <col min="12083" max="12293" width="9.83203125" style="5"/>
    <col min="12294" max="12294" width="9" style="5" customWidth="1"/>
    <col min="12295" max="12295" width="14" style="5" customWidth="1"/>
    <col min="12296" max="12298" width="9.83203125" style="5"/>
    <col min="12299" max="12299" width="11.5" style="5" customWidth="1"/>
    <col min="12300" max="12300" width="9.83203125" style="5"/>
    <col min="12301" max="12301" width="8.5" style="5" customWidth="1"/>
    <col min="12302" max="12304" width="10" style="5" customWidth="1"/>
    <col min="12305" max="12305" width="5" style="5" customWidth="1"/>
    <col min="12306" max="12306" width="9.83203125" style="5" customWidth="1"/>
    <col min="12307" max="12310" width="9.83203125" style="5"/>
    <col min="12311" max="12311" width="7.5" style="5" customWidth="1"/>
    <col min="12312" max="12312" width="5" style="5" customWidth="1"/>
    <col min="12313" max="12316" width="9.83203125" style="5"/>
    <col min="12317" max="12317" width="5" style="5" customWidth="1"/>
    <col min="12318" max="12318" width="9.83203125" style="5"/>
    <col min="12319" max="12319" width="10.33203125" style="5" customWidth="1"/>
    <col min="12320" max="12325" width="9.83203125" style="5"/>
    <col min="12326" max="12326" width="11" style="5" customWidth="1"/>
    <col min="12327" max="12327" width="12.33203125" style="5" customWidth="1"/>
    <col min="12328" max="12333" width="9.83203125" style="5"/>
    <col min="12334" max="12334" width="10" style="5" customWidth="1"/>
    <col min="12335" max="12337" width="9.83203125" style="5"/>
    <col min="12338" max="12338" width="8.5" style="5" bestFit="1" customWidth="1"/>
    <col min="12339" max="12549" width="9.83203125" style="5"/>
    <col min="12550" max="12550" width="9" style="5" customWidth="1"/>
    <col min="12551" max="12551" width="14" style="5" customWidth="1"/>
    <col min="12552" max="12554" width="9.83203125" style="5"/>
    <col min="12555" max="12555" width="11.5" style="5" customWidth="1"/>
    <col min="12556" max="12556" width="9.83203125" style="5"/>
    <col min="12557" max="12557" width="8.5" style="5" customWidth="1"/>
    <col min="12558" max="12560" width="10" style="5" customWidth="1"/>
    <col min="12561" max="12561" width="5" style="5" customWidth="1"/>
    <col min="12562" max="12562" width="9.83203125" style="5" customWidth="1"/>
    <col min="12563" max="12566" width="9.83203125" style="5"/>
    <col min="12567" max="12567" width="7.5" style="5" customWidth="1"/>
    <col min="12568" max="12568" width="5" style="5" customWidth="1"/>
    <col min="12569" max="12572" width="9.83203125" style="5"/>
    <col min="12573" max="12573" width="5" style="5" customWidth="1"/>
    <col min="12574" max="12574" width="9.83203125" style="5"/>
    <col min="12575" max="12575" width="10.33203125" style="5" customWidth="1"/>
    <col min="12576" max="12581" width="9.83203125" style="5"/>
    <col min="12582" max="12582" width="11" style="5" customWidth="1"/>
    <col min="12583" max="12583" width="12.33203125" style="5" customWidth="1"/>
    <col min="12584" max="12589" width="9.83203125" style="5"/>
    <col min="12590" max="12590" width="10" style="5" customWidth="1"/>
    <col min="12591" max="12593" width="9.83203125" style="5"/>
    <col min="12594" max="12594" width="8.5" style="5" bestFit="1" customWidth="1"/>
    <col min="12595" max="12805" width="9.83203125" style="5"/>
    <col min="12806" max="12806" width="9" style="5" customWidth="1"/>
    <col min="12807" max="12807" width="14" style="5" customWidth="1"/>
    <col min="12808" max="12810" width="9.83203125" style="5"/>
    <col min="12811" max="12811" width="11.5" style="5" customWidth="1"/>
    <col min="12812" max="12812" width="9.83203125" style="5"/>
    <col min="12813" max="12813" width="8.5" style="5" customWidth="1"/>
    <col min="12814" max="12816" width="10" style="5" customWidth="1"/>
    <col min="12817" max="12817" width="5" style="5" customWidth="1"/>
    <col min="12818" max="12818" width="9.83203125" style="5" customWidth="1"/>
    <col min="12819" max="12822" width="9.83203125" style="5"/>
    <col min="12823" max="12823" width="7.5" style="5" customWidth="1"/>
    <col min="12824" max="12824" width="5" style="5" customWidth="1"/>
    <col min="12825" max="12828" width="9.83203125" style="5"/>
    <col min="12829" max="12829" width="5" style="5" customWidth="1"/>
    <col min="12830" max="12830" width="9.83203125" style="5"/>
    <col min="12831" max="12831" width="10.33203125" style="5" customWidth="1"/>
    <col min="12832" max="12837" width="9.83203125" style="5"/>
    <col min="12838" max="12838" width="11" style="5" customWidth="1"/>
    <col min="12839" max="12839" width="12.33203125" style="5" customWidth="1"/>
    <col min="12840" max="12845" width="9.83203125" style="5"/>
    <col min="12846" max="12846" width="10" style="5" customWidth="1"/>
    <col min="12847" max="12849" width="9.83203125" style="5"/>
    <col min="12850" max="12850" width="8.5" style="5" bestFit="1" customWidth="1"/>
    <col min="12851" max="13061" width="9.83203125" style="5"/>
    <col min="13062" max="13062" width="9" style="5" customWidth="1"/>
    <col min="13063" max="13063" width="14" style="5" customWidth="1"/>
    <col min="13064" max="13066" width="9.83203125" style="5"/>
    <col min="13067" max="13067" width="11.5" style="5" customWidth="1"/>
    <col min="13068" max="13068" width="9.83203125" style="5"/>
    <col min="13069" max="13069" width="8.5" style="5" customWidth="1"/>
    <col min="13070" max="13072" width="10" style="5" customWidth="1"/>
    <col min="13073" max="13073" width="5" style="5" customWidth="1"/>
    <col min="13074" max="13074" width="9.83203125" style="5" customWidth="1"/>
    <col min="13075" max="13078" width="9.83203125" style="5"/>
    <col min="13079" max="13079" width="7.5" style="5" customWidth="1"/>
    <col min="13080" max="13080" width="5" style="5" customWidth="1"/>
    <col min="13081" max="13084" width="9.83203125" style="5"/>
    <col min="13085" max="13085" width="5" style="5" customWidth="1"/>
    <col min="13086" max="13086" width="9.83203125" style="5"/>
    <col min="13087" max="13087" width="10.33203125" style="5" customWidth="1"/>
    <col min="13088" max="13093" width="9.83203125" style="5"/>
    <col min="13094" max="13094" width="11" style="5" customWidth="1"/>
    <col min="13095" max="13095" width="12.33203125" style="5" customWidth="1"/>
    <col min="13096" max="13101" width="9.83203125" style="5"/>
    <col min="13102" max="13102" width="10" style="5" customWidth="1"/>
    <col min="13103" max="13105" width="9.83203125" style="5"/>
    <col min="13106" max="13106" width="8.5" style="5" bestFit="1" customWidth="1"/>
    <col min="13107" max="13317" width="9.83203125" style="5"/>
    <col min="13318" max="13318" width="9" style="5" customWidth="1"/>
    <col min="13319" max="13319" width="14" style="5" customWidth="1"/>
    <col min="13320" max="13322" width="9.83203125" style="5"/>
    <col min="13323" max="13323" width="11.5" style="5" customWidth="1"/>
    <col min="13324" max="13324" width="9.83203125" style="5"/>
    <col min="13325" max="13325" width="8.5" style="5" customWidth="1"/>
    <col min="13326" max="13328" width="10" style="5" customWidth="1"/>
    <col min="13329" max="13329" width="5" style="5" customWidth="1"/>
    <col min="13330" max="13330" width="9.83203125" style="5" customWidth="1"/>
    <col min="13331" max="13334" width="9.83203125" style="5"/>
    <col min="13335" max="13335" width="7.5" style="5" customWidth="1"/>
    <col min="13336" max="13336" width="5" style="5" customWidth="1"/>
    <col min="13337" max="13340" width="9.83203125" style="5"/>
    <col min="13341" max="13341" width="5" style="5" customWidth="1"/>
    <col min="13342" max="13342" width="9.83203125" style="5"/>
    <col min="13343" max="13343" width="10.33203125" style="5" customWidth="1"/>
    <col min="13344" max="13349" width="9.83203125" style="5"/>
    <col min="13350" max="13350" width="11" style="5" customWidth="1"/>
    <col min="13351" max="13351" width="12.33203125" style="5" customWidth="1"/>
    <col min="13352" max="13357" width="9.83203125" style="5"/>
    <col min="13358" max="13358" width="10" style="5" customWidth="1"/>
    <col min="13359" max="13361" width="9.83203125" style="5"/>
    <col min="13362" max="13362" width="8.5" style="5" bestFit="1" customWidth="1"/>
    <col min="13363" max="13573" width="9.83203125" style="5"/>
    <col min="13574" max="13574" width="9" style="5" customWidth="1"/>
    <col min="13575" max="13575" width="14" style="5" customWidth="1"/>
    <col min="13576" max="13578" width="9.83203125" style="5"/>
    <col min="13579" max="13579" width="11.5" style="5" customWidth="1"/>
    <col min="13580" max="13580" width="9.83203125" style="5"/>
    <col min="13581" max="13581" width="8.5" style="5" customWidth="1"/>
    <col min="13582" max="13584" width="10" style="5" customWidth="1"/>
    <col min="13585" max="13585" width="5" style="5" customWidth="1"/>
    <col min="13586" max="13586" width="9.83203125" style="5" customWidth="1"/>
    <col min="13587" max="13590" width="9.83203125" style="5"/>
    <col min="13591" max="13591" width="7.5" style="5" customWidth="1"/>
    <col min="13592" max="13592" width="5" style="5" customWidth="1"/>
    <col min="13593" max="13596" width="9.83203125" style="5"/>
    <col min="13597" max="13597" width="5" style="5" customWidth="1"/>
    <col min="13598" max="13598" width="9.83203125" style="5"/>
    <col min="13599" max="13599" width="10.33203125" style="5" customWidth="1"/>
    <col min="13600" max="13605" width="9.83203125" style="5"/>
    <col min="13606" max="13606" width="11" style="5" customWidth="1"/>
    <col min="13607" max="13607" width="12.33203125" style="5" customWidth="1"/>
    <col min="13608" max="13613" width="9.83203125" style="5"/>
    <col min="13614" max="13614" width="10" style="5" customWidth="1"/>
    <col min="13615" max="13617" width="9.83203125" style="5"/>
    <col min="13618" max="13618" width="8.5" style="5" bestFit="1" customWidth="1"/>
    <col min="13619" max="13829" width="9.83203125" style="5"/>
    <col min="13830" max="13830" width="9" style="5" customWidth="1"/>
    <col min="13831" max="13831" width="14" style="5" customWidth="1"/>
    <col min="13832" max="13834" width="9.83203125" style="5"/>
    <col min="13835" max="13835" width="11.5" style="5" customWidth="1"/>
    <col min="13836" max="13836" width="9.83203125" style="5"/>
    <col min="13837" max="13837" width="8.5" style="5" customWidth="1"/>
    <col min="13838" max="13840" width="10" style="5" customWidth="1"/>
    <col min="13841" max="13841" width="5" style="5" customWidth="1"/>
    <col min="13842" max="13842" width="9.83203125" style="5" customWidth="1"/>
    <col min="13843" max="13846" width="9.83203125" style="5"/>
    <col min="13847" max="13847" width="7.5" style="5" customWidth="1"/>
    <col min="13848" max="13848" width="5" style="5" customWidth="1"/>
    <col min="13849" max="13852" width="9.83203125" style="5"/>
    <col min="13853" max="13853" width="5" style="5" customWidth="1"/>
    <col min="13854" max="13854" width="9.83203125" style="5"/>
    <col min="13855" max="13855" width="10.33203125" style="5" customWidth="1"/>
    <col min="13856" max="13861" width="9.83203125" style="5"/>
    <col min="13862" max="13862" width="11" style="5" customWidth="1"/>
    <col min="13863" max="13863" width="12.33203125" style="5" customWidth="1"/>
    <col min="13864" max="13869" width="9.83203125" style="5"/>
    <col min="13870" max="13870" width="10" style="5" customWidth="1"/>
    <col min="13871" max="13873" width="9.83203125" style="5"/>
    <col min="13874" max="13874" width="8.5" style="5" bestFit="1" customWidth="1"/>
    <col min="13875" max="14085" width="9.83203125" style="5"/>
    <col min="14086" max="14086" width="9" style="5" customWidth="1"/>
    <col min="14087" max="14087" width="14" style="5" customWidth="1"/>
    <col min="14088" max="14090" width="9.83203125" style="5"/>
    <col min="14091" max="14091" width="11.5" style="5" customWidth="1"/>
    <col min="14092" max="14092" width="9.83203125" style="5"/>
    <col min="14093" max="14093" width="8.5" style="5" customWidth="1"/>
    <col min="14094" max="14096" width="10" style="5" customWidth="1"/>
    <col min="14097" max="14097" width="5" style="5" customWidth="1"/>
    <col min="14098" max="14098" width="9.83203125" style="5" customWidth="1"/>
    <col min="14099" max="14102" width="9.83203125" style="5"/>
    <col min="14103" max="14103" width="7.5" style="5" customWidth="1"/>
    <col min="14104" max="14104" width="5" style="5" customWidth="1"/>
    <col min="14105" max="14108" width="9.83203125" style="5"/>
    <col min="14109" max="14109" width="5" style="5" customWidth="1"/>
    <col min="14110" max="14110" width="9.83203125" style="5"/>
    <col min="14111" max="14111" width="10.33203125" style="5" customWidth="1"/>
    <col min="14112" max="14117" width="9.83203125" style="5"/>
    <col min="14118" max="14118" width="11" style="5" customWidth="1"/>
    <col min="14119" max="14119" width="12.33203125" style="5" customWidth="1"/>
    <col min="14120" max="14125" width="9.83203125" style="5"/>
    <col min="14126" max="14126" width="10" style="5" customWidth="1"/>
    <col min="14127" max="14129" width="9.83203125" style="5"/>
    <col min="14130" max="14130" width="8.5" style="5" bestFit="1" customWidth="1"/>
    <col min="14131" max="14341" width="9.83203125" style="5"/>
    <col min="14342" max="14342" width="9" style="5" customWidth="1"/>
    <col min="14343" max="14343" width="14" style="5" customWidth="1"/>
    <col min="14344" max="14346" width="9.83203125" style="5"/>
    <col min="14347" max="14347" width="11.5" style="5" customWidth="1"/>
    <col min="14348" max="14348" width="9.83203125" style="5"/>
    <col min="14349" max="14349" width="8.5" style="5" customWidth="1"/>
    <col min="14350" max="14352" width="10" style="5" customWidth="1"/>
    <col min="14353" max="14353" width="5" style="5" customWidth="1"/>
    <col min="14354" max="14354" width="9.83203125" style="5" customWidth="1"/>
    <col min="14355" max="14358" width="9.83203125" style="5"/>
    <col min="14359" max="14359" width="7.5" style="5" customWidth="1"/>
    <col min="14360" max="14360" width="5" style="5" customWidth="1"/>
    <col min="14361" max="14364" width="9.83203125" style="5"/>
    <col min="14365" max="14365" width="5" style="5" customWidth="1"/>
    <col min="14366" max="14366" width="9.83203125" style="5"/>
    <col min="14367" max="14367" width="10.33203125" style="5" customWidth="1"/>
    <col min="14368" max="14373" width="9.83203125" style="5"/>
    <col min="14374" max="14374" width="11" style="5" customWidth="1"/>
    <col min="14375" max="14375" width="12.33203125" style="5" customWidth="1"/>
    <col min="14376" max="14381" width="9.83203125" style="5"/>
    <col min="14382" max="14382" width="10" style="5" customWidth="1"/>
    <col min="14383" max="14385" width="9.83203125" style="5"/>
    <col min="14386" max="14386" width="8.5" style="5" bestFit="1" customWidth="1"/>
    <col min="14387" max="14597" width="9.83203125" style="5"/>
    <col min="14598" max="14598" width="9" style="5" customWidth="1"/>
    <col min="14599" max="14599" width="14" style="5" customWidth="1"/>
    <col min="14600" max="14602" width="9.83203125" style="5"/>
    <col min="14603" max="14603" width="11.5" style="5" customWidth="1"/>
    <col min="14604" max="14604" width="9.83203125" style="5"/>
    <col min="14605" max="14605" width="8.5" style="5" customWidth="1"/>
    <col min="14606" max="14608" width="10" style="5" customWidth="1"/>
    <col min="14609" max="14609" width="5" style="5" customWidth="1"/>
    <col min="14610" max="14610" width="9.83203125" style="5" customWidth="1"/>
    <col min="14611" max="14614" width="9.83203125" style="5"/>
    <col min="14615" max="14615" width="7.5" style="5" customWidth="1"/>
    <col min="14616" max="14616" width="5" style="5" customWidth="1"/>
    <col min="14617" max="14620" width="9.83203125" style="5"/>
    <col min="14621" max="14621" width="5" style="5" customWidth="1"/>
    <col min="14622" max="14622" width="9.83203125" style="5"/>
    <col min="14623" max="14623" width="10.33203125" style="5" customWidth="1"/>
    <col min="14624" max="14629" width="9.83203125" style="5"/>
    <col min="14630" max="14630" width="11" style="5" customWidth="1"/>
    <col min="14631" max="14631" width="12.33203125" style="5" customWidth="1"/>
    <col min="14632" max="14637" width="9.83203125" style="5"/>
    <col min="14638" max="14638" width="10" style="5" customWidth="1"/>
    <col min="14639" max="14641" width="9.83203125" style="5"/>
    <col min="14642" max="14642" width="8.5" style="5" bestFit="1" customWidth="1"/>
    <col min="14643" max="14853" width="9.83203125" style="5"/>
    <col min="14854" max="14854" width="9" style="5" customWidth="1"/>
    <col min="14855" max="14855" width="14" style="5" customWidth="1"/>
    <col min="14856" max="14858" width="9.83203125" style="5"/>
    <col min="14859" max="14859" width="11.5" style="5" customWidth="1"/>
    <col min="14860" max="14860" width="9.83203125" style="5"/>
    <col min="14861" max="14861" width="8.5" style="5" customWidth="1"/>
    <col min="14862" max="14864" width="10" style="5" customWidth="1"/>
    <col min="14865" max="14865" width="5" style="5" customWidth="1"/>
    <col min="14866" max="14866" width="9.83203125" style="5" customWidth="1"/>
    <col min="14867" max="14870" width="9.83203125" style="5"/>
    <col min="14871" max="14871" width="7.5" style="5" customWidth="1"/>
    <col min="14872" max="14872" width="5" style="5" customWidth="1"/>
    <col min="14873" max="14876" width="9.83203125" style="5"/>
    <col min="14877" max="14877" width="5" style="5" customWidth="1"/>
    <col min="14878" max="14878" width="9.83203125" style="5"/>
    <col min="14879" max="14879" width="10.33203125" style="5" customWidth="1"/>
    <col min="14880" max="14885" width="9.83203125" style="5"/>
    <col min="14886" max="14886" width="11" style="5" customWidth="1"/>
    <col min="14887" max="14887" width="12.33203125" style="5" customWidth="1"/>
    <col min="14888" max="14893" width="9.83203125" style="5"/>
    <col min="14894" max="14894" width="10" style="5" customWidth="1"/>
    <col min="14895" max="14897" width="9.83203125" style="5"/>
    <col min="14898" max="14898" width="8.5" style="5" bestFit="1" customWidth="1"/>
    <col min="14899" max="15109" width="9.83203125" style="5"/>
    <col min="15110" max="15110" width="9" style="5" customWidth="1"/>
    <col min="15111" max="15111" width="14" style="5" customWidth="1"/>
    <col min="15112" max="15114" width="9.83203125" style="5"/>
    <col min="15115" max="15115" width="11.5" style="5" customWidth="1"/>
    <col min="15116" max="15116" width="9.83203125" style="5"/>
    <col min="15117" max="15117" width="8.5" style="5" customWidth="1"/>
    <col min="15118" max="15120" width="10" style="5" customWidth="1"/>
    <col min="15121" max="15121" width="5" style="5" customWidth="1"/>
    <col min="15122" max="15122" width="9.83203125" style="5" customWidth="1"/>
    <col min="15123" max="15126" width="9.83203125" style="5"/>
    <col min="15127" max="15127" width="7.5" style="5" customWidth="1"/>
    <col min="15128" max="15128" width="5" style="5" customWidth="1"/>
    <col min="15129" max="15132" width="9.83203125" style="5"/>
    <col min="15133" max="15133" width="5" style="5" customWidth="1"/>
    <col min="15134" max="15134" width="9.83203125" style="5"/>
    <col min="15135" max="15135" width="10.33203125" style="5" customWidth="1"/>
    <col min="15136" max="15141" width="9.83203125" style="5"/>
    <col min="15142" max="15142" width="11" style="5" customWidth="1"/>
    <col min="15143" max="15143" width="12.33203125" style="5" customWidth="1"/>
    <col min="15144" max="15149" width="9.83203125" style="5"/>
    <col min="15150" max="15150" width="10" style="5" customWidth="1"/>
    <col min="15151" max="15153" width="9.83203125" style="5"/>
    <col min="15154" max="15154" width="8.5" style="5" bestFit="1" customWidth="1"/>
    <col min="15155" max="15365" width="9.83203125" style="5"/>
    <col min="15366" max="15366" width="9" style="5" customWidth="1"/>
    <col min="15367" max="15367" width="14" style="5" customWidth="1"/>
    <col min="15368" max="15370" width="9.83203125" style="5"/>
    <col min="15371" max="15371" width="11.5" style="5" customWidth="1"/>
    <col min="15372" max="15372" width="9.83203125" style="5"/>
    <col min="15373" max="15373" width="8.5" style="5" customWidth="1"/>
    <col min="15374" max="15376" width="10" style="5" customWidth="1"/>
    <col min="15377" max="15377" width="5" style="5" customWidth="1"/>
    <col min="15378" max="15378" width="9.83203125" style="5" customWidth="1"/>
    <col min="15379" max="15382" width="9.83203125" style="5"/>
    <col min="15383" max="15383" width="7.5" style="5" customWidth="1"/>
    <col min="15384" max="15384" width="5" style="5" customWidth="1"/>
    <col min="15385" max="15388" width="9.83203125" style="5"/>
    <col min="15389" max="15389" width="5" style="5" customWidth="1"/>
    <col min="15390" max="15390" width="9.83203125" style="5"/>
    <col min="15391" max="15391" width="10.33203125" style="5" customWidth="1"/>
    <col min="15392" max="15397" width="9.83203125" style="5"/>
    <col min="15398" max="15398" width="11" style="5" customWidth="1"/>
    <col min="15399" max="15399" width="12.33203125" style="5" customWidth="1"/>
    <col min="15400" max="15405" width="9.83203125" style="5"/>
    <col min="15406" max="15406" width="10" style="5" customWidth="1"/>
    <col min="15407" max="15409" width="9.83203125" style="5"/>
    <col min="15410" max="15410" width="8.5" style="5" bestFit="1" customWidth="1"/>
    <col min="15411" max="15621" width="9.83203125" style="5"/>
    <col min="15622" max="15622" width="9" style="5" customWidth="1"/>
    <col min="15623" max="15623" width="14" style="5" customWidth="1"/>
    <col min="15624" max="15626" width="9.83203125" style="5"/>
    <col min="15627" max="15627" width="11.5" style="5" customWidth="1"/>
    <col min="15628" max="15628" width="9.83203125" style="5"/>
    <col min="15629" max="15629" width="8.5" style="5" customWidth="1"/>
    <col min="15630" max="15632" width="10" style="5" customWidth="1"/>
    <col min="15633" max="15633" width="5" style="5" customWidth="1"/>
    <col min="15634" max="15634" width="9.83203125" style="5" customWidth="1"/>
    <col min="15635" max="15638" width="9.83203125" style="5"/>
    <col min="15639" max="15639" width="7.5" style="5" customWidth="1"/>
    <col min="15640" max="15640" width="5" style="5" customWidth="1"/>
    <col min="15641" max="15644" width="9.83203125" style="5"/>
    <col min="15645" max="15645" width="5" style="5" customWidth="1"/>
    <col min="15646" max="15646" width="9.83203125" style="5"/>
    <col min="15647" max="15647" width="10.33203125" style="5" customWidth="1"/>
    <col min="15648" max="15653" width="9.83203125" style="5"/>
    <col min="15654" max="15654" width="11" style="5" customWidth="1"/>
    <col min="15655" max="15655" width="12.33203125" style="5" customWidth="1"/>
    <col min="15656" max="15661" width="9.83203125" style="5"/>
    <col min="15662" max="15662" width="10" style="5" customWidth="1"/>
    <col min="15663" max="15665" width="9.83203125" style="5"/>
    <col min="15666" max="15666" width="8.5" style="5" bestFit="1" customWidth="1"/>
    <col min="15667" max="15877" width="9.83203125" style="5"/>
    <col min="15878" max="15878" width="9" style="5" customWidth="1"/>
    <col min="15879" max="15879" width="14" style="5" customWidth="1"/>
    <col min="15880" max="15882" width="9.83203125" style="5"/>
    <col min="15883" max="15883" width="11.5" style="5" customWidth="1"/>
    <col min="15884" max="15884" width="9.83203125" style="5"/>
    <col min="15885" max="15885" width="8.5" style="5" customWidth="1"/>
    <col min="15886" max="15888" width="10" style="5" customWidth="1"/>
    <col min="15889" max="15889" width="5" style="5" customWidth="1"/>
    <col min="15890" max="15890" width="9.83203125" style="5" customWidth="1"/>
    <col min="15891" max="15894" width="9.83203125" style="5"/>
    <col min="15895" max="15895" width="7.5" style="5" customWidth="1"/>
    <col min="15896" max="15896" width="5" style="5" customWidth="1"/>
    <col min="15897" max="15900" width="9.83203125" style="5"/>
    <col min="15901" max="15901" width="5" style="5" customWidth="1"/>
    <col min="15902" max="15902" width="9.83203125" style="5"/>
    <col min="15903" max="15903" width="10.33203125" style="5" customWidth="1"/>
    <col min="15904" max="15909" width="9.83203125" style="5"/>
    <col min="15910" max="15910" width="11" style="5" customWidth="1"/>
    <col min="15911" max="15911" width="12.33203125" style="5" customWidth="1"/>
    <col min="15912" max="15917" width="9.83203125" style="5"/>
    <col min="15918" max="15918" width="10" style="5" customWidth="1"/>
    <col min="15919" max="15921" width="9.83203125" style="5"/>
    <col min="15922" max="15922" width="8.5" style="5" bestFit="1" customWidth="1"/>
    <col min="15923" max="16133" width="9.83203125" style="5"/>
    <col min="16134" max="16134" width="9" style="5" customWidth="1"/>
    <col min="16135" max="16135" width="14" style="5" customWidth="1"/>
    <col min="16136" max="16138" width="9.83203125" style="5"/>
    <col min="16139" max="16139" width="11.5" style="5" customWidth="1"/>
    <col min="16140" max="16140" width="9.83203125" style="5"/>
    <col min="16141" max="16141" width="8.5" style="5" customWidth="1"/>
    <col min="16142" max="16144" width="10" style="5" customWidth="1"/>
    <col min="16145" max="16145" width="5" style="5" customWidth="1"/>
    <col min="16146" max="16146" width="9.83203125" style="5" customWidth="1"/>
    <col min="16147" max="16150" width="9.83203125" style="5"/>
    <col min="16151" max="16151" width="7.5" style="5" customWidth="1"/>
    <col min="16152" max="16152" width="5" style="5" customWidth="1"/>
    <col min="16153" max="16156" width="9.83203125" style="5"/>
    <col min="16157" max="16157" width="5" style="5" customWidth="1"/>
    <col min="16158" max="16158" width="9.83203125" style="5"/>
    <col min="16159" max="16159" width="10.33203125" style="5" customWidth="1"/>
    <col min="16160" max="16165" width="9.83203125" style="5"/>
    <col min="16166" max="16166" width="11" style="5" customWidth="1"/>
    <col min="16167" max="16167" width="12.33203125" style="5" customWidth="1"/>
    <col min="16168" max="16173" width="9.83203125" style="5"/>
    <col min="16174" max="16174" width="10" style="5" customWidth="1"/>
    <col min="16175" max="16177" width="9.83203125" style="5"/>
    <col min="16178" max="16178" width="8.5" style="5" bestFit="1" customWidth="1"/>
    <col min="16179" max="16384" width="9.83203125" style="5"/>
  </cols>
  <sheetData>
    <row r="1" spans="1:50" ht="16" x14ac:dyDescent="0.2">
      <c r="A1" s="4" t="s">
        <v>108</v>
      </c>
      <c r="AD1" s="91" t="s">
        <v>11</v>
      </c>
      <c r="AE1" s="91"/>
      <c r="AF1" s="91"/>
      <c r="AG1" s="91"/>
      <c r="AH1" s="91"/>
      <c r="AI1" s="91"/>
      <c r="AJ1" s="92"/>
      <c r="AK1" s="92"/>
      <c r="AL1" s="92"/>
      <c r="AM1" s="92"/>
    </row>
    <row r="2" spans="1:50" ht="15" x14ac:dyDescent="0.2">
      <c r="J2" s="12" t="s">
        <v>12</v>
      </c>
      <c r="K2" s="12"/>
      <c r="L2" s="12"/>
      <c r="M2" s="12"/>
      <c r="N2" s="12"/>
      <c r="O2" s="12"/>
      <c r="P2" s="12"/>
      <c r="R2" s="93" t="s">
        <v>13</v>
      </c>
      <c r="S2" s="93"/>
      <c r="T2" s="93"/>
      <c r="U2" s="93"/>
      <c r="V2" s="94"/>
      <c r="W2" s="95"/>
      <c r="Y2" s="96" t="s">
        <v>14</v>
      </c>
      <c r="Z2" s="96"/>
      <c r="AA2" s="96"/>
      <c r="AB2" s="96"/>
      <c r="AD2" s="7" t="s">
        <v>15</v>
      </c>
      <c r="AE2" s="7" t="s">
        <v>16</v>
      </c>
      <c r="AF2" s="7" t="s">
        <v>17</v>
      </c>
      <c r="AG2" s="7" t="s">
        <v>81</v>
      </c>
      <c r="AH2" s="7"/>
      <c r="AI2" s="7" t="s">
        <v>20</v>
      </c>
      <c r="AJ2" s="7" t="s">
        <v>21</v>
      </c>
      <c r="AK2" s="7" t="s">
        <v>22</v>
      </c>
      <c r="AL2" s="7" t="s">
        <v>23</v>
      </c>
      <c r="AM2" s="7" t="s">
        <v>24</v>
      </c>
    </row>
    <row r="3" spans="1:50" ht="43" x14ac:dyDescent="0.2">
      <c r="G3" s="5" t="s">
        <v>25</v>
      </c>
      <c r="H3" s="16">
        <v>163</v>
      </c>
      <c r="I3" s="7" t="s">
        <v>26</v>
      </c>
      <c r="J3" s="7" t="s">
        <v>27</v>
      </c>
      <c r="K3" s="7" t="s">
        <v>28</v>
      </c>
      <c r="L3" s="7" t="s">
        <v>29</v>
      </c>
      <c r="M3" s="17" t="s">
        <v>30</v>
      </c>
      <c r="N3" s="17" t="s">
        <v>32</v>
      </c>
      <c r="O3" s="17" t="s">
        <v>34</v>
      </c>
      <c r="P3" s="17" t="s">
        <v>82</v>
      </c>
      <c r="Q3" s="17"/>
      <c r="R3" s="17" t="s">
        <v>35</v>
      </c>
      <c r="S3" s="17" t="s">
        <v>36</v>
      </c>
      <c r="T3" s="17" t="s">
        <v>37</v>
      </c>
      <c r="U3" s="17" t="s">
        <v>38</v>
      </c>
      <c r="V3" s="17" t="s">
        <v>39</v>
      </c>
      <c r="W3" s="17" t="s">
        <v>40</v>
      </c>
      <c r="X3" s="17"/>
      <c r="Y3" s="17" t="s">
        <v>41</v>
      </c>
      <c r="Z3" s="17" t="s">
        <v>42</v>
      </c>
      <c r="AA3" s="17" t="s">
        <v>43</v>
      </c>
      <c r="AB3" s="17" t="s">
        <v>44</v>
      </c>
      <c r="AC3" s="17"/>
      <c r="AD3" s="19" t="s">
        <v>45</v>
      </c>
      <c r="AE3" s="19" t="s">
        <v>46</v>
      </c>
      <c r="AF3" s="19" t="s">
        <v>47</v>
      </c>
      <c r="AG3" s="19" t="s">
        <v>86</v>
      </c>
      <c r="AH3" s="19" t="s">
        <v>50</v>
      </c>
      <c r="AI3" s="19" t="s">
        <v>51</v>
      </c>
      <c r="AJ3" s="19" t="s">
        <v>52</v>
      </c>
      <c r="AK3" s="19" t="s">
        <v>53</v>
      </c>
      <c r="AL3" s="19" t="s">
        <v>54</v>
      </c>
      <c r="AM3" s="19" t="s">
        <v>87</v>
      </c>
      <c r="AN3" s="61" t="s">
        <v>88</v>
      </c>
      <c r="AO3" s="7"/>
      <c r="AP3" s="7"/>
    </row>
    <row r="4" spans="1:50" ht="16" x14ac:dyDescent="0.2">
      <c r="A4" s="14" t="s">
        <v>58</v>
      </c>
      <c r="B4" s="14"/>
      <c r="C4" s="14"/>
      <c r="D4" s="14"/>
      <c r="H4" s="7"/>
      <c r="I4" s="7">
        <v>0</v>
      </c>
      <c r="J4" s="20">
        <f>$H$3</f>
        <v>163</v>
      </c>
      <c r="K4" s="20">
        <f>J4*C16</f>
        <v>130.4</v>
      </c>
      <c r="L4" s="21">
        <f>C20</f>
        <v>200</v>
      </c>
      <c r="M4" s="20">
        <f t="shared" ref="M4:M14" si="0">$E$11</f>
        <v>50000</v>
      </c>
      <c r="N4" s="33">
        <v>0.8</v>
      </c>
      <c r="O4" s="28">
        <f>M4*N4/1000</f>
        <v>40</v>
      </c>
      <c r="P4" s="28">
        <f>$H$14*M4/1000</f>
        <v>0.5</v>
      </c>
      <c r="T4" s="80">
        <v>1</v>
      </c>
      <c r="U4" s="81"/>
      <c r="V4" s="81"/>
      <c r="W4" s="81">
        <f t="shared" ref="W4:W9" si="1">T4-SUM(U4:V4)</f>
        <v>1</v>
      </c>
      <c r="X4" s="81"/>
      <c r="Y4" s="28"/>
      <c r="Z4" s="28"/>
      <c r="AA4" s="28">
        <f>O4*W4</f>
        <v>40</v>
      </c>
      <c r="AB4" s="28">
        <f>P4*W4</f>
        <v>0.5</v>
      </c>
      <c r="AC4" s="81"/>
      <c r="AD4" s="28">
        <f>$W4*J4</f>
        <v>163</v>
      </c>
      <c r="AE4" s="28">
        <f>-$W4*K4</f>
        <v>-130.4</v>
      </c>
      <c r="AF4" s="28">
        <f>-$W4*L4</f>
        <v>-200</v>
      </c>
      <c r="AG4" s="28"/>
      <c r="AH4" s="28">
        <f>SUM(AD4:AG4)</f>
        <v>-167.4</v>
      </c>
      <c r="AI4" s="28">
        <f>Y4-AA4</f>
        <v>-40</v>
      </c>
      <c r="AJ4" s="28"/>
      <c r="AK4" s="28">
        <f>SUM(AH4:AJ4)</f>
        <v>-207.4</v>
      </c>
      <c r="AL4" s="28">
        <f>Z4-AB4</f>
        <v>-0.5</v>
      </c>
      <c r="AM4" s="28">
        <f>AK4+AL4</f>
        <v>-207.9</v>
      </c>
      <c r="AO4" s="65">
        <f>AK20</f>
        <v>156.99662065784466</v>
      </c>
      <c r="AQ4" s="82"/>
      <c r="AR4" s="82"/>
      <c r="AS4" s="83"/>
      <c r="AT4" s="83"/>
      <c r="AU4" s="84"/>
      <c r="AV4" s="84"/>
      <c r="AW4" s="83"/>
    </row>
    <row r="5" spans="1:50" ht="16" x14ac:dyDescent="0.2">
      <c r="H5" s="67"/>
      <c r="I5" s="32">
        <f>I4+1</f>
        <v>1</v>
      </c>
      <c r="J5" s="20"/>
      <c r="K5" s="20"/>
      <c r="L5" s="21"/>
      <c r="M5" s="20">
        <f t="shared" si="0"/>
        <v>50000</v>
      </c>
      <c r="N5" s="33">
        <v>0.3</v>
      </c>
      <c r="O5" s="85">
        <f t="shared" ref="O5:O14" si="2">M5*N5/1000</f>
        <v>15</v>
      </c>
      <c r="P5" s="85">
        <f t="shared" ref="P5:P13" si="3">$H$14*M5/1000</f>
        <v>0.5</v>
      </c>
      <c r="Q5" s="33"/>
      <c r="R5" s="33">
        <v>0.46</v>
      </c>
      <c r="S5" s="34">
        <f>C10</f>
        <v>7.0000000000000007E-2</v>
      </c>
      <c r="T5" s="86">
        <f>W4</f>
        <v>1</v>
      </c>
      <c r="U5" s="86">
        <f>T5*R5/1000</f>
        <v>4.6000000000000001E-4</v>
      </c>
      <c r="V5" s="86">
        <f>MIN(S5*T5,T5-U5)</f>
        <v>7.0000000000000007E-2</v>
      </c>
      <c r="W5" s="81">
        <f t="shared" si="1"/>
        <v>0.92954000000000003</v>
      </c>
      <c r="X5" s="81"/>
      <c r="Y5" s="28">
        <f>AA4</f>
        <v>40</v>
      </c>
      <c r="Z5" s="28">
        <f>AB4</f>
        <v>0.5</v>
      </c>
      <c r="AA5" s="28">
        <f t="shared" ref="AA5:AA14" si="4">O5*W5</f>
        <v>13.943100000000001</v>
      </c>
      <c r="AB5" s="28">
        <f t="shared" ref="AB5:AB14" si="5">P5*W5</f>
        <v>0.46477000000000002</v>
      </c>
      <c r="AC5" s="81"/>
      <c r="AD5" s="28">
        <f>$W5*J5</f>
        <v>0</v>
      </c>
      <c r="AE5" s="28">
        <f>-$W5*K5</f>
        <v>0</v>
      </c>
      <c r="AF5" s="28">
        <f t="shared" ref="AE5:AF14" si="6">-$W5*L5</f>
        <v>0</v>
      </c>
      <c r="AG5" s="28">
        <f>-U5*M5</f>
        <v>-23</v>
      </c>
      <c r="AH5" s="28">
        <f>SUM(AD5:AG5)</f>
        <v>-23</v>
      </c>
      <c r="AI5" s="28">
        <f>-M5*$W4*(N5-N4)/1000</f>
        <v>25</v>
      </c>
      <c r="AJ5" s="28">
        <f>$D$6*SUM(Y5:Z5,AD5:AE5)</f>
        <v>2.2275</v>
      </c>
      <c r="AK5" s="28">
        <f t="shared" ref="AK5:AK14" si="7">SUM(AH5:AJ5)</f>
        <v>4.2275</v>
      </c>
      <c r="AL5" s="28">
        <f>Z5-AB5</f>
        <v>3.5229999999999984E-2</v>
      </c>
      <c r="AM5" s="28">
        <f t="shared" ref="AM5:AM13" si="8">AK5+AL5</f>
        <v>4.2627300000000004</v>
      </c>
      <c r="AN5" s="5" t="s">
        <v>59</v>
      </c>
      <c r="AO5" s="67"/>
      <c r="AQ5" s="82"/>
      <c r="AR5" s="82"/>
      <c r="AS5" s="83"/>
      <c r="AT5" s="83"/>
      <c r="AU5" s="84"/>
      <c r="AV5" s="84"/>
      <c r="AW5" s="83"/>
    </row>
    <row r="6" spans="1:50" ht="16" x14ac:dyDescent="0.2">
      <c r="A6" s="37" t="s">
        <v>60</v>
      </c>
      <c r="B6" s="37"/>
      <c r="C6" s="37"/>
      <c r="D6" s="38">
        <v>5.5E-2</v>
      </c>
      <c r="E6" s="39"/>
      <c r="F6" s="39"/>
      <c r="G6" s="39"/>
      <c r="H6" s="7"/>
      <c r="I6" s="32">
        <f t="shared" ref="I6:I24" si="9">I5+1</f>
        <v>2</v>
      </c>
      <c r="J6" s="20">
        <f t="shared" ref="J6:J14" si="10">$H$3</f>
        <v>163</v>
      </c>
      <c r="K6" s="20">
        <f>J6*$C$17</f>
        <v>8.15</v>
      </c>
      <c r="L6" s="21">
        <f t="shared" ref="L6:L14" si="11">$C$21</f>
        <v>25</v>
      </c>
      <c r="M6" s="20">
        <f t="shared" si="0"/>
        <v>50000</v>
      </c>
      <c r="N6" s="33">
        <v>0.4</v>
      </c>
      <c r="O6" s="85">
        <f t="shared" si="2"/>
        <v>20</v>
      </c>
      <c r="P6" s="85">
        <f t="shared" si="3"/>
        <v>0.5</v>
      </c>
      <c r="Q6" s="33"/>
      <c r="R6" s="33">
        <v>0.55000000000000004</v>
      </c>
      <c r="S6" s="34">
        <f>$C$11</f>
        <v>0.06</v>
      </c>
      <c r="T6" s="81">
        <f>W5</f>
        <v>0.92954000000000003</v>
      </c>
      <c r="U6" s="81">
        <f>T6*R6/1000</f>
        <v>5.1124700000000005E-4</v>
      </c>
      <c r="V6" s="86">
        <f t="shared" ref="V6:V14" si="12">MIN(S6*T6,T6-U6)</f>
        <v>5.57724E-2</v>
      </c>
      <c r="W6" s="81">
        <f t="shared" si="1"/>
        <v>0.87325635300000004</v>
      </c>
      <c r="X6" s="81"/>
      <c r="Y6" s="28">
        <f t="shared" ref="Y6:Z14" si="13">AA5</f>
        <v>13.943100000000001</v>
      </c>
      <c r="Z6" s="28">
        <f t="shared" si="13"/>
        <v>0.46477000000000002</v>
      </c>
      <c r="AA6" s="28">
        <f t="shared" si="4"/>
        <v>17.46512706</v>
      </c>
      <c r="AB6" s="28">
        <f t="shared" si="5"/>
        <v>0.43662817650000002</v>
      </c>
      <c r="AC6" s="81"/>
      <c r="AD6" s="28">
        <f>$W6*J6</f>
        <v>142.340785539</v>
      </c>
      <c r="AE6" s="28">
        <f t="shared" si="6"/>
        <v>-7.1170392769500008</v>
      </c>
      <c r="AF6" s="28">
        <f>-$W6*L6</f>
        <v>-21.831408825</v>
      </c>
      <c r="AG6" s="28">
        <f t="shared" ref="AG6:AG14" si="14">-U6*M6</f>
        <v>-25.562350000000002</v>
      </c>
      <c r="AH6" s="28">
        <f t="shared" ref="AH6:AH14" si="15">SUM(AD6:AG6)</f>
        <v>87.829987437049994</v>
      </c>
      <c r="AI6" s="28">
        <f>-M6*($W5*N6-$W4*N5)/1000</f>
        <v>-3.5908000000000024</v>
      </c>
      <c r="AJ6" s="28">
        <f t="shared" ref="AJ6:AJ14" si="16">$D$6*SUM(Y6:Z6,AD6:AE6)</f>
        <v>8.2297388944127494</v>
      </c>
      <c r="AK6" s="28">
        <f t="shared" si="7"/>
        <v>92.46892633146274</v>
      </c>
      <c r="AL6" s="28">
        <f t="shared" ref="AL6:AL14" si="17">Z6-AB6</f>
        <v>2.8141823499999996E-2</v>
      </c>
      <c r="AM6" s="28">
        <f t="shared" si="8"/>
        <v>92.497068154962733</v>
      </c>
      <c r="AO6" s="65">
        <f>AM20</f>
        <v>156.72259656042908</v>
      </c>
      <c r="AQ6" s="82"/>
      <c r="AR6" s="82"/>
      <c r="AS6" s="83"/>
      <c r="AT6" s="83"/>
      <c r="AU6" s="84"/>
      <c r="AV6" s="84"/>
      <c r="AW6" s="83"/>
    </row>
    <row r="7" spans="1:50" ht="16" x14ac:dyDescent="0.2">
      <c r="A7" s="14" t="s">
        <v>61</v>
      </c>
      <c r="B7" s="14"/>
      <c r="C7" s="40"/>
      <c r="D7" s="41">
        <v>0.12</v>
      </c>
      <c r="E7" s="39"/>
      <c r="F7" s="39"/>
      <c r="G7" s="39"/>
      <c r="H7" s="7"/>
      <c r="I7" s="32">
        <f t="shared" si="9"/>
        <v>3</v>
      </c>
      <c r="J7" s="20">
        <f t="shared" si="10"/>
        <v>163</v>
      </c>
      <c r="K7" s="20">
        <f t="shared" ref="K7:K14" si="18">J7*$C$17</f>
        <v>8.15</v>
      </c>
      <c r="L7" s="21">
        <f t="shared" si="11"/>
        <v>25</v>
      </c>
      <c r="M7" s="20">
        <f t="shared" si="0"/>
        <v>50000</v>
      </c>
      <c r="N7" s="33">
        <v>0.4</v>
      </c>
      <c r="O7" s="85">
        <f t="shared" si="2"/>
        <v>20</v>
      </c>
      <c r="P7" s="85">
        <f t="shared" si="3"/>
        <v>0.5</v>
      </c>
      <c r="Q7" s="33"/>
      <c r="R7" s="33">
        <v>0.66</v>
      </c>
      <c r="S7" s="34">
        <f>$C$11</f>
        <v>0.06</v>
      </c>
      <c r="T7" s="86">
        <f>W6</f>
        <v>0.87325635300000004</v>
      </c>
      <c r="U7" s="86">
        <f t="shared" ref="U7:U14" si="19">T7*R7/1000</f>
        <v>5.7634919298000012E-4</v>
      </c>
      <c r="V7" s="86">
        <f t="shared" si="12"/>
        <v>5.2395381179999999E-2</v>
      </c>
      <c r="W7" s="81">
        <f t="shared" si="1"/>
        <v>0.82028462262702007</v>
      </c>
      <c r="X7" s="81"/>
      <c r="Y7" s="28">
        <f t="shared" si="13"/>
        <v>17.46512706</v>
      </c>
      <c r="Z7" s="28">
        <f t="shared" si="13"/>
        <v>0.43662817650000002</v>
      </c>
      <c r="AA7" s="28">
        <f t="shared" si="4"/>
        <v>16.4056924525404</v>
      </c>
      <c r="AB7" s="28">
        <f t="shared" si="5"/>
        <v>0.41014231131351003</v>
      </c>
      <c r="AC7" s="81"/>
      <c r="AD7" s="28">
        <f t="shared" ref="AD7:AD14" si="20">$W7*J7</f>
        <v>133.70639348820427</v>
      </c>
      <c r="AE7" s="28">
        <f t="shared" si="6"/>
        <v>-6.6853196744102137</v>
      </c>
      <c r="AF7" s="28">
        <f t="shared" si="6"/>
        <v>-20.507115565675502</v>
      </c>
      <c r="AG7" s="28">
        <f>-U7*M7</f>
        <v>-28.817459649000007</v>
      </c>
      <c r="AH7" s="28">
        <f t="shared" si="15"/>
        <v>77.696498599118542</v>
      </c>
      <c r="AI7" s="28">
        <f t="shared" ref="AI7:AI14" si="21">-M7*($W6*N7-$W5*N6)/1000</f>
        <v>1.1256729399999998</v>
      </c>
      <c r="AJ7" s="28">
        <f t="shared" si="16"/>
        <v>7.9707555977661739</v>
      </c>
      <c r="AK7" s="28">
        <f t="shared" si="7"/>
        <v>86.792927136884714</v>
      </c>
      <c r="AL7" s="28">
        <f t="shared" si="17"/>
        <v>2.6485865186489987E-2</v>
      </c>
      <c r="AM7" s="28">
        <f t="shared" si="8"/>
        <v>86.819413002071201</v>
      </c>
      <c r="AQ7" s="82"/>
      <c r="AR7" s="82"/>
      <c r="AS7" s="83"/>
      <c r="AT7" s="83"/>
      <c r="AU7" s="84"/>
      <c r="AV7" s="84"/>
      <c r="AW7" s="83"/>
    </row>
    <row r="8" spans="1:50" ht="16" x14ac:dyDescent="0.2">
      <c r="A8" s="37" t="s">
        <v>62</v>
      </c>
      <c r="B8" s="37"/>
      <c r="C8" s="15"/>
      <c r="D8" s="7"/>
      <c r="E8" s="7"/>
      <c r="F8" s="7"/>
      <c r="G8" s="7"/>
      <c r="H8" s="7"/>
      <c r="I8" s="32">
        <f t="shared" si="9"/>
        <v>4</v>
      </c>
      <c r="J8" s="20">
        <f t="shared" si="10"/>
        <v>163</v>
      </c>
      <c r="K8" s="20">
        <f t="shared" si="18"/>
        <v>8.15</v>
      </c>
      <c r="L8" s="21">
        <f t="shared" si="11"/>
        <v>25</v>
      </c>
      <c r="M8" s="20">
        <f t="shared" si="0"/>
        <v>50000</v>
      </c>
      <c r="N8" s="33">
        <v>0.4</v>
      </c>
      <c r="O8" s="85">
        <f t="shared" si="2"/>
        <v>20</v>
      </c>
      <c r="P8" s="85">
        <f t="shared" si="3"/>
        <v>0.5</v>
      </c>
      <c r="Q8" s="33"/>
      <c r="R8" s="33">
        <v>0.71</v>
      </c>
      <c r="S8" s="34">
        <f>$C$11</f>
        <v>0.06</v>
      </c>
      <c r="T8" s="86">
        <f t="shared" ref="T8:T14" si="22">W7</f>
        <v>0.82028462262702007</v>
      </c>
      <c r="U8" s="86">
        <f t="shared" si="19"/>
        <v>5.8240208206518417E-4</v>
      </c>
      <c r="V8" s="86">
        <f t="shared" si="12"/>
        <v>4.9217077357621201E-2</v>
      </c>
      <c r="W8" s="81">
        <f t="shared" si="1"/>
        <v>0.77048514318733363</v>
      </c>
      <c r="X8" s="81"/>
      <c r="Y8" s="28">
        <f t="shared" si="13"/>
        <v>16.4056924525404</v>
      </c>
      <c r="Z8" s="28">
        <f t="shared" si="13"/>
        <v>0.41014231131351003</v>
      </c>
      <c r="AA8" s="28">
        <f t="shared" si="4"/>
        <v>15.409702863746674</v>
      </c>
      <c r="AB8" s="28">
        <f t="shared" si="5"/>
        <v>0.38524257159366682</v>
      </c>
      <c r="AC8" s="81"/>
      <c r="AD8" s="28">
        <f t="shared" si="20"/>
        <v>125.58907833953538</v>
      </c>
      <c r="AE8" s="28">
        <f t="shared" si="6"/>
        <v>-6.2794539169767694</v>
      </c>
      <c r="AF8" s="28">
        <f t="shared" si="6"/>
        <v>-19.262128579683342</v>
      </c>
      <c r="AG8" s="28">
        <f t="shared" si="14"/>
        <v>-29.120104103259209</v>
      </c>
      <c r="AH8" s="28">
        <f>SUM(AD8:AG8)</f>
        <v>70.927391739616056</v>
      </c>
      <c r="AI8" s="28">
        <f t="shared" si="21"/>
        <v>1.0594346074596002</v>
      </c>
      <c r="AJ8" s="28">
        <f t="shared" si="16"/>
        <v>7.4869002552526887</v>
      </c>
      <c r="AK8" s="28">
        <f t="shared" si="7"/>
        <v>79.473726602328341</v>
      </c>
      <c r="AL8" s="28">
        <f t="shared" si="17"/>
        <v>2.4899739719843217E-2</v>
      </c>
      <c r="AM8" s="28">
        <f t="shared" si="8"/>
        <v>79.498626342048183</v>
      </c>
      <c r="AQ8" s="82"/>
      <c r="AR8" s="82"/>
      <c r="AS8" s="83"/>
      <c r="AT8" s="83"/>
      <c r="AU8" s="84"/>
      <c r="AV8" s="84"/>
      <c r="AW8" s="83"/>
    </row>
    <row r="9" spans="1:50" ht="16" x14ac:dyDescent="0.2">
      <c r="A9" s="37"/>
      <c r="B9" s="15" t="s">
        <v>63</v>
      </c>
      <c r="C9" s="15" t="s">
        <v>64</v>
      </c>
      <c r="D9" s="7"/>
      <c r="E9" s="7"/>
      <c r="F9" s="7"/>
      <c r="G9" s="7"/>
      <c r="H9" s="7"/>
      <c r="I9" s="32">
        <f t="shared" si="9"/>
        <v>5</v>
      </c>
      <c r="J9" s="20">
        <f t="shared" si="10"/>
        <v>163</v>
      </c>
      <c r="K9" s="20">
        <f t="shared" si="18"/>
        <v>8.15</v>
      </c>
      <c r="L9" s="21">
        <f t="shared" si="11"/>
        <v>25</v>
      </c>
      <c r="M9" s="20">
        <f t="shared" si="0"/>
        <v>50000</v>
      </c>
      <c r="N9" s="33">
        <v>0.4</v>
      </c>
      <c r="O9" s="85">
        <f t="shared" si="2"/>
        <v>20</v>
      </c>
      <c r="P9" s="85">
        <f t="shared" si="3"/>
        <v>0.5</v>
      </c>
      <c r="Q9" s="33"/>
      <c r="R9" s="33">
        <v>0.75</v>
      </c>
      <c r="S9" s="34">
        <f>$C$11</f>
        <v>0.06</v>
      </c>
      <c r="T9" s="86">
        <f t="shared" si="22"/>
        <v>0.77048514318733363</v>
      </c>
      <c r="U9" s="86">
        <f>T9*R9/1000</f>
        <v>5.7786385739050014E-4</v>
      </c>
      <c r="V9" s="86">
        <f t="shared" si="12"/>
        <v>4.6229108591240013E-2</v>
      </c>
      <c r="W9" s="81">
        <f t="shared" si="1"/>
        <v>0.72367817073870311</v>
      </c>
      <c r="X9" s="81"/>
      <c r="Y9" s="28">
        <f t="shared" si="13"/>
        <v>15.409702863746674</v>
      </c>
      <c r="Z9" s="28">
        <f t="shared" si="13"/>
        <v>0.38524257159366682</v>
      </c>
      <c r="AA9" s="28">
        <f t="shared" si="4"/>
        <v>14.473563414774063</v>
      </c>
      <c r="AB9" s="28">
        <f t="shared" si="5"/>
        <v>0.36183908536935155</v>
      </c>
      <c r="AC9" s="81"/>
      <c r="AD9" s="28">
        <f t="shared" si="20"/>
        <v>117.95954183040861</v>
      </c>
      <c r="AE9" s="28">
        <f t="shared" si="6"/>
        <v>-5.8979770915204304</v>
      </c>
      <c r="AF9" s="28">
        <f t="shared" si="6"/>
        <v>-18.091954268467578</v>
      </c>
      <c r="AG9" s="28">
        <f t="shared" si="14"/>
        <v>-28.893192869525006</v>
      </c>
      <c r="AH9" s="28">
        <f t="shared" si="15"/>
        <v>65.076417600895596</v>
      </c>
      <c r="AI9" s="28">
        <f>-M9*($W8*N9-$W7*N8)/1000</f>
        <v>0.99598958879372756</v>
      </c>
      <c r="AJ9" s="28">
        <f t="shared" si="16"/>
        <v>7.0321080595825691</v>
      </c>
      <c r="AK9" s="28">
        <f t="shared" si="7"/>
        <v>73.104515249271898</v>
      </c>
      <c r="AL9" s="28">
        <f t="shared" si="17"/>
        <v>2.3403486224315262E-2</v>
      </c>
      <c r="AM9" s="28">
        <f t="shared" si="8"/>
        <v>73.127918735496209</v>
      </c>
      <c r="AQ9" s="82"/>
      <c r="AR9" s="82"/>
      <c r="AS9" s="83"/>
      <c r="AT9" s="83"/>
      <c r="AU9" s="84"/>
      <c r="AV9" s="84"/>
      <c r="AW9" s="83"/>
    </row>
    <row r="10" spans="1:50" ht="16" x14ac:dyDescent="0.2">
      <c r="A10" s="37"/>
      <c r="B10" s="15">
        <v>1</v>
      </c>
      <c r="C10" s="42">
        <v>7.0000000000000007E-2</v>
      </c>
      <c r="D10" s="7"/>
      <c r="E10" s="43" t="s">
        <v>65</v>
      </c>
      <c r="F10" s="13"/>
      <c r="G10" s="7"/>
      <c r="H10" s="7"/>
      <c r="I10" s="32">
        <f t="shared" si="9"/>
        <v>6</v>
      </c>
      <c r="J10" s="20">
        <f t="shared" si="10"/>
        <v>163</v>
      </c>
      <c r="K10" s="20">
        <f t="shared" si="18"/>
        <v>8.15</v>
      </c>
      <c r="L10" s="21">
        <f t="shared" si="11"/>
        <v>25</v>
      </c>
      <c r="M10" s="20">
        <f t="shared" si="0"/>
        <v>50000</v>
      </c>
      <c r="N10" s="33">
        <v>0.4</v>
      </c>
      <c r="O10" s="85">
        <f t="shared" si="2"/>
        <v>20</v>
      </c>
      <c r="P10" s="85">
        <f t="shared" si="3"/>
        <v>0.5</v>
      </c>
      <c r="Q10" s="33"/>
      <c r="R10" s="33">
        <v>0.754</v>
      </c>
      <c r="S10" s="34">
        <f>$C$12</f>
        <v>0.05</v>
      </c>
      <c r="T10" s="86">
        <f t="shared" si="22"/>
        <v>0.72367817073870311</v>
      </c>
      <c r="U10" s="86">
        <f t="shared" si="19"/>
        <v>5.4565334073698214E-4</v>
      </c>
      <c r="V10" s="86">
        <f t="shared" si="12"/>
        <v>3.6183908536935157E-2</v>
      </c>
      <c r="W10" s="81">
        <f>T10-SUM(U10:V10)</f>
        <v>0.68694860886103093</v>
      </c>
      <c r="X10" s="81"/>
      <c r="Y10" s="28">
        <f t="shared" si="13"/>
        <v>14.473563414774063</v>
      </c>
      <c r="Z10" s="28">
        <f t="shared" si="13"/>
        <v>0.36183908536935155</v>
      </c>
      <c r="AA10" s="28">
        <f t="shared" si="4"/>
        <v>13.738972177220619</v>
      </c>
      <c r="AB10" s="28">
        <f t="shared" si="5"/>
        <v>0.34347430443051546</v>
      </c>
      <c r="AC10" s="81"/>
      <c r="AD10" s="28">
        <f t="shared" si="20"/>
        <v>111.97262324434804</v>
      </c>
      <c r="AE10" s="28">
        <f t="shared" si="6"/>
        <v>-5.5986311622174023</v>
      </c>
      <c r="AF10" s="28">
        <f t="shared" si="6"/>
        <v>-17.173715221525772</v>
      </c>
      <c r="AG10" s="28">
        <f t="shared" si="14"/>
        <v>-27.282667036849109</v>
      </c>
      <c r="AH10" s="28">
        <f t="shared" si="15"/>
        <v>61.917609823755768</v>
      </c>
      <c r="AI10" s="28">
        <f>-M10*($W9*N10-$W8*N9)/1000</f>
        <v>0.93613944897261159</v>
      </c>
      <c r="AJ10" s="28">
        <f t="shared" si="16"/>
        <v>6.6665167020250733</v>
      </c>
      <c r="AK10" s="28">
        <f t="shared" si="7"/>
        <v>69.520265974753457</v>
      </c>
      <c r="AL10" s="28">
        <f t="shared" si="17"/>
        <v>1.8364780938836089E-2</v>
      </c>
      <c r="AM10" s="28">
        <f t="shared" si="8"/>
        <v>69.538630755692296</v>
      </c>
      <c r="AQ10" s="82"/>
      <c r="AR10" s="82"/>
      <c r="AS10" s="83"/>
      <c r="AT10" s="83"/>
      <c r="AU10" s="84"/>
      <c r="AV10" s="84"/>
      <c r="AW10" s="83"/>
    </row>
    <row r="11" spans="1:50" ht="16" x14ac:dyDescent="0.2">
      <c r="A11" s="37"/>
      <c r="B11" s="44" t="s">
        <v>66</v>
      </c>
      <c r="C11" s="42">
        <v>0.06</v>
      </c>
      <c r="D11" s="7"/>
      <c r="E11" s="45">
        <v>50000</v>
      </c>
      <c r="F11" s="13"/>
      <c r="G11" s="7"/>
      <c r="H11" s="7"/>
      <c r="I11" s="32">
        <f t="shared" si="9"/>
        <v>7</v>
      </c>
      <c r="J11" s="20">
        <f t="shared" si="10"/>
        <v>163</v>
      </c>
      <c r="K11" s="20">
        <f t="shared" si="18"/>
        <v>8.15</v>
      </c>
      <c r="L11" s="21">
        <f t="shared" si="11"/>
        <v>25</v>
      </c>
      <c r="M11" s="20">
        <f t="shared" si="0"/>
        <v>50000</v>
      </c>
      <c r="N11" s="33">
        <v>0.3</v>
      </c>
      <c r="O11" s="85">
        <f t="shared" si="2"/>
        <v>15</v>
      </c>
      <c r="P11" s="85">
        <f t="shared" si="3"/>
        <v>0.5</v>
      </c>
      <c r="Q11" s="33"/>
      <c r="R11" s="33">
        <v>0.76400000000000001</v>
      </c>
      <c r="S11" s="34">
        <f>$C$12</f>
        <v>0.05</v>
      </c>
      <c r="T11" s="86">
        <f t="shared" si="22"/>
        <v>0.68694860886103093</v>
      </c>
      <c r="U11" s="86">
        <f t="shared" si="19"/>
        <v>5.2482873716982754E-4</v>
      </c>
      <c r="V11" s="86">
        <f>MIN(S11*T11,T11-U11)</f>
        <v>3.4347430443051545E-2</v>
      </c>
      <c r="W11" s="81">
        <f>T11-SUM(U11:V11)</f>
        <v>0.65207634968080952</v>
      </c>
      <c r="X11" s="81"/>
      <c r="Y11" s="28">
        <f t="shared" si="13"/>
        <v>13.738972177220619</v>
      </c>
      <c r="Z11" s="28">
        <f t="shared" si="13"/>
        <v>0.34347430443051546</v>
      </c>
      <c r="AA11" s="28">
        <f t="shared" si="4"/>
        <v>9.7811452452121426</v>
      </c>
      <c r="AB11" s="28">
        <f>P11*W11</f>
        <v>0.32603817484040476</v>
      </c>
      <c r="AC11" s="81"/>
      <c r="AD11" s="28">
        <f t="shared" si="20"/>
        <v>106.28844499797195</v>
      </c>
      <c r="AE11" s="28">
        <f t="shared" si="6"/>
        <v>-5.3144222498985982</v>
      </c>
      <c r="AF11" s="28">
        <f t="shared" si="6"/>
        <v>-16.301908742020238</v>
      </c>
      <c r="AG11" s="28">
        <f t="shared" si="14"/>
        <v>-26.241436858491376</v>
      </c>
      <c r="AH11" s="28">
        <f t="shared" si="15"/>
        <v>58.430677147561731</v>
      </c>
      <c r="AI11" s="28">
        <f t="shared" si="21"/>
        <v>4.1693342818585988</v>
      </c>
      <c r="AJ11" s="28">
        <f>$D$6*SUM(Y11:Z11,AD11:AE11)</f>
        <v>6.3281058076348469</v>
      </c>
      <c r="AK11" s="28">
        <f t="shared" si="7"/>
        <v>68.928117237055176</v>
      </c>
      <c r="AL11" s="28">
        <f t="shared" si="17"/>
        <v>1.7436129590110705E-2</v>
      </c>
      <c r="AM11" s="28">
        <f t="shared" si="8"/>
        <v>68.945553366645285</v>
      </c>
      <c r="AQ11" s="82"/>
      <c r="AR11" s="82"/>
      <c r="AS11" s="83"/>
      <c r="AT11" s="83"/>
      <c r="AU11" s="84"/>
      <c r="AV11" s="84"/>
      <c r="AW11" s="83"/>
    </row>
    <row r="12" spans="1:50" ht="16" x14ac:dyDescent="0.2">
      <c r="A12" s="37"/>
      <c r="B12" s="44" t="s">
        <v>67</v>
      </c>
      <c r="C12" s="42">
        <v>0.05</v>
      </c>
      <c r="D12" s="7"/>
      <c r="E12" s="7"/>
      <c r="F12" s="7"/>
      <c r="G12" s="7"/>
      <c r="H12" s="7"/>
      <c r="I12" s="32">
        <f t="shared" si="9"/>
        <v>8</v>
      </c>
      <c r="J12" s="20">
        <f t="shared" si="10"/>
        <v>163</v>
      </c>
      <c r="K12" s="20">
        <f t="shared" si="18"/>
        <v>8.15</v>
      </c>
      <c r="L12" s="21">
        <f t="shared" si="11"/>
        <v>25</v>
      </c>
      <c r="M12" s="20">
        <f t="shared" si="0"/>
        <v>50000</v>
      </c>
      <c r="N12" s="33">
        <v>0.2</v>
      </c>
      <c r="O12" s="85">
        <f t="shared" si="2"/>
        <v>10</v>
      </c>
      <c r="P12" s="85">
        <f t="shared" si="3"/>
        <v>0.5</v>
      </c>
      <c r="Q12" s="33"/>
      <c r="R12" s="33">
        <v>0.76999999999999991</v>
      </c>
      <c r="S12" s="34">
        <f>$C$12</f>
        <v>0.05</v>
      </c>
      <c r="T12" s="86">
        <f t="shared" si="22"/>
        <v>0.65207634968080952</v>
      </c>
      <c r="U12" s="86">
        <f t="shared" si="19"/>
        <v>5.0209878925422326E-4</v>
      </c>
      <c r="V12" s="86">
        <f t="shared" si="12"/>
        <v>3.2603817484040475E-2</v>
      </c>
      <c r="W12" s="81">
        <f>T12-SUM(U12:V12)</f>
        <v>0.61897043340751479</v>
      </c>
      <c r="X12" s="81"/>
      <c r="Y12" s="28">
        <f t="shared" si="13"/>
        <v>9.7811452452121426</v>
      </c>
      <c r="Z12" s="28">
        <f t="shared" si="13"/>
        <v>0.32603817484040476</v>
      </c>
      <c r="AA12" s="28">
        <f>O12*W12</f>
        <v>6.1897043340751479</v>
      </c>
      <c r="AB12" s="28">
        <f>P12*W12</f>
        <v>0.30948521670375739</v>
      </c>
      <c r="AC12" s="81"/>
      <c r="AD12" s="28">
        <f t="shared" si="20"/>
        <v>100.89218064542492</v>
      </c>
      <c r="AE12" s="28">
        <f t="shared" si="6"/>
        <v>-5.0446090322712456</v>
      </c>
      <c r="AF12" s="28">
        <f t="shared" si="6"/>
        <v>-15.47426083518787</v>
      </c>
      <c r="AG12" s="28">
        <f t="shared" si="14"/>
        <v>-25.104939462711162</v>
      </c>
      <c r="AH12" s="28">
        <f t="shared" si="15"/>
        <v>55.26837131525464</v>
      </c>
      <c r="AI12" s="28">
        <f t="shared" si="21"/>
        <v>3.7834656361073695</v>
      </c>
      <c r="AJ12" s="28">
        <f t="shared" si="16"/>
        <v>5.8275115268263429</v>
      </c>
      <c r="AK12" s="28">
        <f>SUM(AH12:AJ12)</f>
        <v>64.879348478188362</v>
      </c>
      <c r="AL12" s="28">
        <f t="shared" si="17"/>
        <v>1.6552958136647367E-2</v>
      </c>
      <c r="AM12" s="28">
        <f t="shared" si="8"/>
        <v>64.895901436325005</v>
      </c>
      <c r="AQ12" s="82"/>
      <c r="AR12" s="82"/>
      <c r="AS12" s="83"/>
      <c r="AT12" s="83"/>
      <c r="AU12" s="84"/>
      <c r="AV12" s="84"/>
      <c r="AW12" s="83"/>
    </row>
    <row r="13" spans="1:50" ht="16" x14ac:dyDescent="0.2">
      <c r="A13" s="37"/>
      <c r="B13" s="15" t="s">
        <v>68</v>
      </c>
      <c r="C13" s="42">
        <v>0.04</v>
      </c>
      <c r="D13" s="7"/>
      <c r="E13" s="7"/>
      <c r="F13" s="7"/>
      <c r="G13" s="7"/>
      <c r="H13" s="7"/>
      <c r="I13" s="32">
        <f t="shared" si="9"/>
        <v>9</v>
      </c>
      <c r="J13" s="20">
        <f t="shared" si="10"/>
        <v>163</v>
      </c>
      <c r="K13" s="20">
        <f t="shared" si="18"/>
        <v>8.15</v>
      </c>
      <c r="L13" s="21">
        <f t="shared" si="11"/>
        <v>25</v>
      </c>
      <c r="M13" s="20">
        <f t="shared" si="0"/>
        <v>50000</v>
      </c>
      <c r="N13" s="33">
        <v>0.1</v>
      </c>
      <c r="O13" s="85">
        <f t="shared" si="2"/>
        <v>5</v>
      </c>
      <c r="P13" s="85">
        <f t="shared" si="3"/>
        <v>0.5</v>
      </c>
      <c r="Q13" s="33"/>
      <c r="R13" s="33">
        <v>0.77399999999999991</v>
      </c>
      <c r="S13" s="34">
        <f>$C$12</f>
        <v>0.05</v>
      </c>
      <c r="T13" s="86">
        <f t="shared" si="22"/>
        <v>0.61897043340751479</v>
      </c>
      <c r="U13" s="86">
        <f t="shared" si="19"/>
        <v>4.7908311545741641E-4</v>
      </c>
      <c r="V13" s="86">
        <f t="shared" si="12"/>
        <v>3.0948521670375741E-2</v>
      </c>
      <c r="W13" s="81">
        <f>T13-SUM(U13:V13)</f>
        <v>0.58754282862168161</v>
      </c>
      <c r="X13" s="81"/>
      <c r="Y13" s="28">
        <f t="shared" si="13"/>
        <v>6.1897043340751479</v>
      </c>
      <c r="Z13" s="28">
        <f>AB12</f>
        <v>0.30948521670375739</v>
      </c>
      <c r="AA13" s="28">
        <f t="shared" si="4"/>
        <v>2.9377141431084079</v>
      </c>
      <c r="AB13" s="28">
        <f>P13*W13</f>
        <v>0.29377141431084081</v>
      </c>
      <c r="AC13" s="81"/>
      <c r="AD13" s="28">
        <f t="shared" si="20"/>
        <v>95.769481065334105</v>
      </c>
      <c r="AE13" s="28">
        <f t="shared" si="6"/>
        <v>-4.7884740532667056</v>
      </c>
      <c r="AF13" s="28">
        <f t="shared" si="6"/>
        <v>-14.68857071554204</v>
      </c>
      <c r="AG13" s="28">
        <f t="shared" si="14"/>
        <v>-23.95415577287082</v>
      </c>
      <c r="AH13" s="28">
        <f t="shared" si="15"/>
        <v>52.338280523654532</v>
      </c>
      <c r="AI13" s="28">
        <f t="shared" si="21"/>
        <v>3.4259113297705208</v>
      </c>
      <c r="AJ13" s="28">
        <f t="shared" si="16"/>
        <v>5.3614108109565466</v>
      </c>
      <c r="AK13" s="28">
        <f t="shared" si="7"/>
        <v>61.125602664381603</v>
      </c>
      <c r="AL13" s="28">
        <f>Z13-AB13</f>
        <v>1.5713802392916587E-2</v>
      </c>
      <c r="AM13" s="28">
        <f t="shared" si="8"/>
        <v>61.141316466774519</v>
      </c>
      <c r="AQ13" s="82"/>
      <c r="AR13" s="82"/>
      <c r="AS13" s="83"/>
      <c r="AT13" s="83"/>
      <c r="AU13" s="84"/>
      <c r="AV13" s="84"/>
      <c r="AW13" s="83"/>
      <c r="AX13" s="87"/>
    </row>
    <row r="14" spans="1:50" ht="16" x14ac:dyDescent="0.2">
      <c r="A14" s="14" t="s">
        <v>69</v>
      </c>
      <c r="B14" s="13"/>
      <c r="C14" s="40"/>
      <c r="D14" s="7"/>
      <c r="E14" s="46" t="s">
        <v>70</v>
      </c>
      <c r="F14" s="15"/>
      <c r="G14" s="15"/>
      <c r="H14" s="88">
        <v>0.01</v>
      </c>
      <c r="I14" s="32">
        <f t="shared" si="9"/>
        <v>10</v>
      </c>
      <c r="J14" s="20">
        <f t="shared" si="10"/>
        <v>163</v>
      </c>
      <c r="K14" s="20">
        <f t="shared" si="18"/>
        <v>8.15</v>
      </c>
      <c r="L14" s="21">
        <f t="shared" si="11"/>
        <v>25</v>
      </c>
      <c r="M14" s="20">
        <f t="shared" si="0"/>
        <v>50000</v>
      </c>
      <c r="N14" s="33">
        <v>0</v>
      </c>
      <c r="O14" s="85">
        <f t="shared" si="2"/>
        <v>0</v>
      </c>
      <c r="P14" s="85"/>
      <c r="Q14" s="33"/>
      <c r="R14" s="33">
        <v>0.78299999999999992</v>
      </c>
      <c r="S14" s="34">
        <f>$C$12</f>
        <v>0.05</v>
      </c>
      <c r="T14" s="86">
        <f t="shared" si="22"/>
        <v>0.58754282862168161</v>
      </c>
      <c r="U14" s="86">
        <f t="shared" si="19"/>
        <v>4.6004603481077664E-4</v>
      </c>
      <c r="V14" s="86">
        <f t="shared" si="12"/>
        <v>2.9377141431084081E-2</v>
      </c>
      <c r="W14" s="81">
        <f>T14-SUM(U14:V14)</f>
        <v>0.5577056411557868</v>
      </c>
      <c r="X14" s="81"/>
      <c r="Y14" s="28">
        <f>AA13</f>
        <v>2.9377141431084079</v>
      </c>
      <c r="Z14" s="28">
        <f t="shared" si="13"/>
        <v>0.29377141431084081</v>
      </c>
      <c r="AA14" s="28">
        <f t="shared" si="4"/>
        <v>0</v>
      </c>
      <c r="AB14" s="28">
        <f t="shared" si="5"/>
        <v>0</v>
      </c>
      <c r="AC14" s="81"/>
      <c r="AD14" s="28">
        <f t="shared" si="20"/>
        <v>90.906019508393243</v>
      </c>
      <c r="AE14" s="28">
        <f t="shared" si="6"/>
        <v>-4.5453009754196625</v>
      </c>
      <c r="AF14" s="28">
        <f t="shared" si="6"/>
        <v>-13.94264102889467</v>
      </c>
      <c r="AG14" s="28">
        <f t="shared" si="14"/>
        <v>-23.002301740538833</v>
      </c>
      <c r="AH14" s="28">
        <f t="shared" si="15"/>
        <v>49.415775763540076</v>
      </c>
      <c r="AI14" s="28">
        <f t="shared" si="21"/>
        <v>3.0948521670375739</v>
      </c>
      <c r="AJ14" s="28">
        <f t="shared" si="16"/>
        <v>4.9275712249716053</v>
      </c>
      <c r="AK14" s="28">
        <f t="shared" si="7"/>
        <v>57.438199155549256</v>
      </c>
      <c r="AL14" s="28">
        <f t="shared" si="17"/>
        <v>0.29377141431084081</v>
      </c>
      <c r="AM14" s="28">
        <f>AK14+AL14</f>
        <v>57.731970569860096</v>
      </c>
      <c r="AQ14" s="82"/>
      <c r="AR14" s="82"/>
      <c r="AS14" s="83"/>
      <c r="AT14" s="83"/>
      <c r="AU14" s="84"/>
      <c r="AV14" s="84"/>
      <c r="AW14" s="83"/>
    </row>
    <row r="15" spans="1:50" ht="16" x14ac:dyDescent="0.2">
      <c r="A15" s="14"/>
      <c r="B15" s="13" t="s">
        <v>63</v>
      </c>
      <c r="C15" s="13" t="s">
        <v>64</v>
      </c>
      <c r="D15" s="7"/>
      <c r="E15" s="7"/>
      <c r="F15" s="7"/>
      <c r="G15" s="7"/>
      <c r="H15" s="7"/>
      <c r="I15" s="89">
        <f t="shared" si="9"/>
        <v>11</v>
      </c>
      <c r="J15" s="90"/>
      <c r="K15" s="90"/>
      <c r="L15" s="90"/>
      <c r="M15" s="90"/>
      <c r="N15" s="90"/>
      <c r="O15" s="90"/>
      <c r="P15" s="90"/>
      <c r="Q15" s="90"/>
      <c r="R15" s="90"/>
      <c r="S15" s="90"/>
      <c r="T15" s="90"/>
      <c r="U15" s="90"/>
      <c r="V15" s="90"/>
      <c r="W15" s="90"/>
      <c r="X15" s="90"/>
      <c r="Y15" s="28"/>
      <c r="Z15" s="28"/>
      <c r="AA15" s="28"/>
      <c r="AB15" s="28"/>
      <c r="AC15" s="90"/>
      <c r="AD15" s="28"/>
      <c r="AE15" s="28"/>
      <c r="AF15" s="28"/>
      <c r="AG15" s="28"/>
      <c r="AH15" s="28"/>
      <c r="AI15" s="28"/>
      <c r="AJ15" s="28"/>
      <c r="AK15" s="28"/>
      <c r="AL15" s="28"/>
      <c r="AM15" s="28"/>
      <c r="AQ15" s="82"/>
      <c r="AR15" s="82"/>
      <c r="AS15" s="83"/>
      <c r="AT15" s="83"/>
      <c r="AU15" s="84"/>
      <c r="AV15" s="84"/>
      <c r="AW15" s="83"/>
    </row>
    <row r="16" spans="1:50" ht="16" x14ac:dyDescent="0.2">
      <c r="A16" s="14"/>
      <c r="B16" s="13">
        <v>1</v>
      </c>
      <c r="C16" s="40">
        <v>0.8</v>
      </c>
      <c r="D16" s="7"/>
      <c r="E16" s="7"/>
      <c r="F16" s="7"/>
      <c r="G16" s="48"/>
      <c r="H16" s="7"/>
      <c r="I16" s="89">
        <f t="shared" si="9"/>
        <v>12</v>
      </c>
      <c r="J16" s="90"/>
      <c r="K16" s="90"/>
      <c r="L16" s="90"/>
      <c r="M16" s="90"/>
      <c r="N16" s="90"/>
      <c r="O16" s="90"/>
      <c r="P16" s="90"/>
      <c r="Q16" s="90"/>
      <c r="R16" s="90"/>
      <c r="S16" s="90"/>
      <c r="T16" s="90"/>
      <c r="U16" s="90"/>
      <c r="V16" s="90"/>
      <c r="W16" s="90"/>
      <c r="X16" s="90"/>
      <c r="Y16" s="28"/>
      <c r="Z16" s="28"/>
      <c r="AA16" s="28"/>
      <c r="AB16" s="28"/>
      <c r="AC16" s="55" t="s">
        <v>73</v>
      </c>
      <c r="AD16" s="56">
        <f t="shared" ref="AD16:AM16" si="23">SUM(AD4:AD15)</f>
        <v>1188.4245486586206</v>
      </c>
      <c r="AE16" s="56">
        <f t="shared" si="23"/>
        <v>-181.671227432931</v>
      </c>
      <c r="AF16" s="56">
        <f t="shared" si="23"/>
        <v>-357.27370378199703</v>
      </c>
      <c r="AG16" s="56">
        <f t="shared" si="23"/>
        <v>-260.97860749324553</v>
      </c>
      <c r="AH16" s="56">
        <f t="shared" si="23"/>
        <v>388.50100995044693</v>
      </c>
      <c r="AI16" s="56">
        <f t="shared" si="23"/>
        <v>0</v>
      </c>
      <c r="AJ16" s="56">
        <f t="shared" si="23"/>
        <v>62.058118879428605</v>
      </c>
      <c r="AK16" s="56">
        <f t="shared" si="23"/>
        <v>450.55912882987548</v>
      </c>
      <c r="AL16" s="56">
        <f t="shared" si="23"/>
        <v>0</v>
      </c>
      <c r="AM16" s="56">
        <f t="shared" si="23"/>
        <v>450.55912882987553</v>
      </c>
      <c r="AQ16" s="82"/>
      <c r="AR16" s="82"/>
      <c r="AS16" s="83"/>
      <c r="AT16" s="83"/>
      <c r="AU16" s="84"/>
      <c r="AV16" s="84"/>
      <c r="AW16" s="83"/>
    </row>
    <row r="17" spans="1:49" ht="16" x14ac:dyDescent="0.2">
      <c r="A17" s="14"/>
      <c r="B17" s="49" t="s">
        <v>71</v>
      </c>
      <c r="C17" s="40">
        <v>0.05</v>
      </c>
      <c r="D17" s="7"/>
      <c r="E17" s="7"/>
      <c r="F17" s="7"/>
      <c r="G17" s="48"/>
      <c r="H17" s="7"/>
      <c r="I17" s="89">
        <f t="shared" si="9"/>
        <v>13</v>
      </c>
      <c r="J17" s="90"/>
      <c r="K17" s="90"/>
      <c r="L17" s="90"/>
      <c r="M17" s="90"/>
      <c r="N17" s="90"/>
      <c r="O17" s="90"/>
      <c r="P17" s="90"/>
      <c r="Q17" s="90"/>
      <c r="R17" s="90"/>
      <c r="S17" s="90"/>
      <c r="T17" s="90"/>
      <c r="U17" s="90"/>
      <c r="V17" s="90"/>
      <c r="W17" s="90"/>
      <c r="X17" s="90"/>
      <c r="Y17" s="28"/>
      <c r="Z17" s="28"/>
      <c r="AA17" s="28"/>
      <c r="AB17" s="28"/>
      <c r="AC17" s="57"/>
      <c r="AQ17" s="82"/>
      <c r="AR17" s="82"/>
      <c r="AS17" s="83"/>
      <c r="AT17" s="83"/>
      <c r="AU17" s="84"/>
      <c r="AV17" s="84"/>
      <c r="AW17" s="83"/>
    </row>
    <row r="18" spans="1:49" ht="16" x14ac:dyDescent="0.2">
      <c r="A18" s="37" t="s">
        <v>72</v>
      </c>
      <c r="B18" s="44"/>
      <c r="C18" s="50"/>
      <c r="D18" s="7"/>
      <c r="E18" s="7"/>
      <c r="F18" s="7"/>
      <c r="G18" s="7"/>
      <c r="H18" s="7"/>
      <c r="I18" s="89">
        <f t="shared" si="9"/>
        <v>14</v>
      </c>
      <c r="J18" s="90"/>
      <c r="K18" s="90"/>
      <c r="L18" s="90"/>
      <c r="M18" s="90"/>
      <c r="N18" s="90"/>
      <c r="O18" s="90"/>
      <c r="P18" s="90"/>
      <c r="Q18" s="90"/>
      <c r="R18" s="90"/>
      <c r="S18" s="90"/>
      <c r="T18" s="90"/>
      <c r="U18" s="90"/>
      <c r="V18" s="90"/>
      <c r="W18" s="90"/>
      <c r="X18" s="90"/>
      <c r="Y18" s="28"/>
      <c r="Z18" s="28"/>
      <c r="AA18" s="28"/>
      <c r="AB18" s="28"/>
      <c r="AC18" s="55" t="str">
        <f>"Present Value at "&amp;TEXT(D6,"0.00%")&amp;":"</f>
        <v>Present Value at 5.50%:</v>
      </c>
      <c r="AD18" s="56">
        <f>AD4+NPV($D$6,AD5:AD15)</f>
        <v>928.76981525824147</v>
      </c>
      <c r="AE18" s="56">
        <f t="shared" ref="AE18:AM18" si="24">AE4+NPV($D$6,AE5:AE15)</f>
        <v>-168.68849076291207</v>
      </c>
      <c r="AF18" s="56">
        <f t="shared" si="24"/>
        <v>-317.44935816844196</v>
      </c>
      <c r="AG18" s="56">
        <f t="shared" si="24"/>
        <v>-197.36761419708515</v>
      </c>
      <c r="AH18" s="56">
        <f t="shared" si="24"/>
        <v>245.26435212980223</v>
      </c>
      <c r="AI18" s="56">
        <f t="shared" si="24"/>
        <v>-7.0154316047816536</v>
      </c>
      <c r="AJ18" s="56">
        <f t="shared" si="24"/>
        <v>46.895817601961596</v>
      </c>
      <c r="AK18" s="56">
        <f t="shared" si="24"/>
        <v>285.14473812698213</v>
      </c>
      <c r="AL18" s="56">
        <f t="shared" si="24"/>
        <v>-0.16298134252812307</v>
      </c>
      <c r="AM18" s="56">
        <f t="shared" si="24"/>
        <v>284.98175678445409</v>
      </c>
      <c r="AQ18" s="82"/>
      <c r="AR18" s="82"/>
      <c r="AS18" s="83"/>
      <c r="AT18" s="83"/>
      <c r="AU18" s="84"/>
      <c r="AV18" s="84"/>
      <c r="AW18" s="83"/>
    </row>
    <row r="19" spans="1:49" ht="16" x14ac:dyDescent="0.2">
      <c r="A19" s="37"/>
      <c r="B19" s="15" t="s">
        <v>63</v>
      </c>
      <c r="C19" s="15" t="s">
        <v>64</v>
      </c>
      <c r="D19" s="7"/>
      <c r="E19" s="7"/>
      <c r="F19" s="7"/>
      <c r="G19" s="48"/>
      <c r="H19" s="48"/>
      <c r="I19" s="89">
        <f t="shared" si="9"/>
        <v>15</v>
      </c>
      <c r="J19" s="90"/>
      <c r="K19" s="90"/>
      <c r="L19" s="90"/>
      <c r="M19" s="90"/>
      <c r="N19" s="90"/>
      <c r="O19" s="90"/>
      <c r="P19" s="90"/>
      <c r="Q19" s="90"/>
      <c r="R19" s="90"/>
      <c r="S19" s="90"/>
      <c r="T19" s="90"/>
      <c r="U19" s="90"/>
      <c r="V19" s="90"/>
      <c r="W19" s="90"/>
      <c r="X19" s="90"/>
      <c r="Y19" s="28"/>
      <c r="Z19" s="28"/>
      <c r="AA19" s="28"/>
      <c r="AB19" s="28"/>
      <c r="AQ19" s="82"/>
      <c r="AR19" s="82"/>
      <c r="AS19" s="83"/>
      <c r="AT19" s="83"/>
      <c r="AU19" s="84"/>
      <c r="AV19" s="84"/>
      <c r="AW19" s="83"/>
    </row>
    <row r="20" spans="1:49" ht="16" x14ac:dyDescent="0.2">
      <c r="A20" s="37"/>
      <c r="B20" s="15">
        <v>1</v>
      </c>
      <c r="C20" s="51">
        <v>200</v>
      </c>
      <c r="D20" s="7"/>
      <c r="E20" s="7"/>
      <c r="F20" s="7"/>
      <c r="G20" s="7"/>
      <c r="H20" s="7"/>
      <c r="I20" s="89">
        <f t="shared" si="9"/>
        <v>16</v>
      </c>
      <c r="J20" s="90"/>
      <c r="K20" s="90"/>
      <c r="L20" s="90"/>
      <c r="M20" s="90"/>
      <c r="N20" s="90"/>
      <c r="O20" s="90"/>
      <c r="P20" s="90"/>
      <c r="Q20" s="90"/>
      <c r="R20" s="90"/>
      <c r="S20" s="90"/>
      <c r="T20" s="90"/>
      <c r="U20" s="90"/>
      <c r="V20" s="90"/>
      <c r="W20" s="90"/>
      <c r="X20" s="90"/>
      <c r="Y20" s="28"/>
      <c r="Z20" s="28"/>
      <c r="AA20" s="28"/>
      <c r="AB20" s="28"/>
      <c r="AC20" s="55" t="str">
        <f>"Present Value at "&amp;TEXT(D7,"0.00%")&amp;":"</f>
        <v>Present Value at 12.00%:</v>
      </c>
      <c r="AD20" s="56">
        <f>AD4+NPV($D$7,AD5:AD15)</f>
        <v>727.75202453932582</v>
      </c>
      <c r="AE20" s="56">
        <f t="shared" ref="AE20:AM20" si="25">AE4+NPV($D$7,AE5:AE15)</f>
        <v>-158.6376012269663</v>
      </c>
      <c r="AF20" s="56">
        <f t="shared" si="25"/>
        <v>-286.61840867167575</v>
      </c>
      <c r="AG20" s="56">
        <f t="shared" si="25"/>
        <v>-148.20292775849504</v>
      </c>
      <c r="AH20" s="56">
        <f t="shared" si="25"/>
        <v>134.2930868821887</v>
      </c>
      <c r="AI20" s="56">
        <f t="shared" si="25"/>
        <v>-12.381234030514236</v>
      </c>
      <c r="AJ20" s="56">
        <f t="shared" si="25"/>
        <v>35.084767806170156</v>
      </c>
      <c r="AK20" s="56">
        <f t="shared" si="25"/>
        <v>156.99662065784466</v>
      </c>
      <c r="AL20" s="56">
        <f t="shared" si="25"/>
        <v>-0.27402409741557021</v>
      </c>
      <c r="AM20" s="56">
        <f t="shared" si="25"/>
        <v>156.72259656042908</v>
      </c>
      <c r="AQ20" s="82"/>
      <c r="AR20" s="82"/>
      <c r="AS20" s="83"/>
      <c r="AT20" s="83"/>
      <c r="AU20" s="84"/>
      <c r="AV20" s="84"/>
      <c r="AW20" s="83"/>
    </row>
    <row r="21" spans="1:49" ht="16" x14ac:dyDescent="0.2">
      <c r="A21" s="37"/>
      <c r="B21" s="44" t="s">
        <v>71</v>
      </c>
      <c r="C21" s="51">
        <v>25</v>
      </c>
      <c r="D21" s="7"/>
      <c r="E21" s="7"/>
      <c r="F21" s="7"/>
      <c r="G21" s="48"/>
      <c r="H21" s="48"/>
      <c r="I21" s="89">
        <f t="shared" si="9"/>
        <v>17</v>
      </c>
      <c r="J21" s="90"/>
      <c r="K21" s="90"/>
      <c r="L21" s="90"/>
      <c r="M21" s="90"/>
      <c r="N21" s="90"/>
      <c r="O21" s="90"/>
      <c r="P21" s="90"/>
      <c r="Q21" s="90"/>
      <c r="R21" s="90"/>
      <c r="S21" s="90"/>
      <c r="T21" s="90"/>
      <c r="U21" s="90"/>
      <c r="V21" s="90"/>
      <c r="W21" s="90"/>
      <c r="X21" s="90"/>
      <c r="Y21" s="28"/>
      <c r="Z21" s="28"/>
      <c r="AA21" s="28"/>
      <c r="AB21" s="28"/>
      <c r="AC21" s="90"/>
      <c r="AQ21" s="82"/>
      <c r="AR21" s="82"/>
      <c r="AS21" s="83"/>
      <c r="AT21" s="83"/>
      <c r="AU21" s="84"/>
      <c r="AV21" s="84"/>
      <c r="AW21" s="83"/>
    </row>
    <row r="22" spans="1:49" ht="16" x14ac:dyDescent="0.2">
      <c r="B22" s="32"/>
      <c r="C22" s="52"/>
      <c r="F22" s="32"/>
      <c r="G22" s="52"/>
      <c r="I22" s="89">
        <f t="shared" si="9"/>
        <v>18</v>
      </c>
      <c r="J22" s="90"/>
      <c r="K22" s="90"/>
      <c r="L22" s="90"/>
      <c r="M22" s="90"/>
      <c r="N22" s="90"/>
      <c r="O22" s="90"/>
      <c r="P22" s="90"/>
      <c r="Q22" s="90"/>
      <c r="R22" s="90"/>
      <c r="S22" s="90"/>
      <c r="T22" s="90"/>
      <c r="U22" s="90"/>
      <c r="V22" s="90"/>
      <c r="W22" s="90"/>
      <c r="X22" s="90"/>
      <c r="Y22" s="28"/>
      <c r="Z22" s="28"/>
      <c r="AA22" s="28"/>
      <c r="AB22" s="28"/>
      <c r="AQ22" s="82"/>
      <c r="AR22" s="82"/>
      <c r="AS22" s="83"/>
      <c r="AT22" s="83"/>
      <c r="AU22" s="84"/>
      <c r="AV22" s="84"/>
      <c r="AW22" s="83"/>
    </row>
    <row r="23" spans="1:49" ht="16" x14ac:dyDescent="0.2">
      <c r="B23" s="32"/>
      <c r="C23" s="52"/>
      <c r="F23" s="32"/>
      <c r="G23" s="52"/>
      <c r="I23" s="89">
        <f t="shared" si="9"/>
        <v>19</v>
      </c>
      <c r="J23" s="90"/>
      <c r="K23" s="90"/>
      <c r="L23" s="90"/>
      <c r="M23" s="90"/>
      <c r="N23" s="90"/>
      <c r="O23" s="90"/>
      <c r="P23" s="90"/>
      <c r="Q23" s="90"/>
      <c r="R23" s="90"/>
      <c r="S23" s="90"/>
      <c r="T23" s="90"/>
      <c r="U23" s="90"/>
      <c r="V23" s="90"/>
      <c r="W23" s="90"/>
      <c r="X23" s="90"/>
      <c r="Y23" s="28"/>
      <c r="Z23" s="28"/>
      <c r="AA23" s="28"/>
      <c r="AB23" s="28"/>
      <c r="AQ23" s="82"/>
      <c r="AR23" s="82"/>
      <c r="AS23" s="83"/>
      <c r="AT23" s="83"/>
      <c r="AU23" s="84"/>
      <c r="AV23" s="84"/>
      <c r="AW23" s="83"/>
    </row>
    <row r="24" spans="1:49" ht="16" x14ac:dyDescent="0.2">
      <c r="B24" s="32"/>
      <c r="C24" s="52"/>
      <c r="F24" s="32"/>
      <c r="G24" s="52"/>
      <c r="I24" s="89">
        <f t="shared" si="9"/>
        <v>20</v>
      </c>
      <c r="J24" s="90"/>
      <c r="K24" s="90"/>
      <c r="L24" s="90"/>
      <c r="M24" s="90"/>
      <c r="N24" s="90"/>
      <c r="O24" s="90"/>
      <c r="P24" s="90"/>
      <c r="Q24" s="90"/>
      <c r="R24" s="90"/>
      <c r="S24" s="90"/>
      <c r="T24" s="90"/>
      <c r="U24" s="90"/>
      <c r="V24" s="90"/>
      <c r="W24" s="90"/>
      <c r="X24" s="90"/>
      <c r="Y24" s="28"/>
      <c r="Z24" s="28"/>
      <c r="AA24" s="28"/>
      <c r="AB24" s="28"/>
      <c r="AQ24" s="82"/>
      <c r="AR24" s="82"/>
      <c r="AS24" s="83"/>
      <c r="AT24" s="83"/>
      <c r="AU24" s="84"/>
      <c r="AV24" s="84"/>
      <c r="AW24" s="83"/>
    </row>
    <row r="25" spans="1:49" ht="16" x14ac:dyDescent="0.2">
      <c r="B25" s="32"/>
      <c r="C25" s="52"/>
      <c r="F25" s="32"/>
      <c r="G25" s="52"/>
      <c r="I25" s="32"/>
      <c r="J25" s="90"/>
      <c r="K25" s="90"/>
      <c r="L25" s="90"/>
      <c r="M25" s="90"/>
      <c r="N25" s="90"/>
      <c r="O25" s="90"/>
      <c r="P25" s="90"/>
      <c r="Q25" s="90"/>
      <c r="R25" s="90"/>
      <c r="S25" s="90"/>
      <c r="T25" s="90"/>
      <c r="U25" s="90"/>
      <c r="V25" s="90"/>
      <c r="W25" s="90"/>
      <c r="X25" s="90"/>
      <c r="Y25" s="28"/>
      <c r="Z25" s="28"/>
      <c r="AA25" s="28"/>
      <c r="AB25" s="28"/>
      <c r="AQ25" s="82"/>
      <c r="AR25" s="82"/>
      <c r="AS25" s="83"/>
      <c r="AT25" s="83"/>
      <c r="AU25" s="84"/>
      <c r="AV25" s="84"/>
      <c r="AW25" s="83"/>
    </row>
    <row r="26" spans="1:49" ht="16" x14ac:dyDescent="0.2">
      <c r="B26" s="32"/>
      <c r="C26" s="52"/>
      <c r="F26" s="32"/>
      <c r="G26" s="52"/>
      <c r="I26" s="32"/>
      <c r="J26" s="90"/>
      <c r="K26" s="90"/>
      <c r="L26" s="90"/>
      <c r="M26" s="90"/>
      <c r="N26" s="90"/>
      <c r="O26" s="90"/>
      <c r="P26" s="90"/>
      <c r="Q26" s="90"/>
      <c r="R26" s="90"/>
      <c r="S26" s="90"/>
      <c r="T26" s="90"/>
      <c r="U26" s="90"/>
      <c r="V26" s="90"/>
      <c r="W26" s="90"/>
      <c r="X26" s="90"/>
      <c r="Y26" s="28"/>
      <c r="Z26" s="28"/>
      <c r="AA26" s="28"/>
      <c r="AB26" s="28"/>
      <c r="AQ26" s="82"/>
      <c r="AR26" s="82"/>
      <c r="AS26" s="83"/>
      <c r="AT26" s="83"/>
      <c r="AU26" s="84"/>
      <c r="AV26" s="84"/>
      <c r="AW26" s="83"/>
    </row>
    <row r="27" spans="1:49" ht="16" x14ac:dyDescent="0.2">
      <c r="B27" s="32"/>
      <c r="C27" s="52"/>
      <c r="F27" s="32"/>
      <c r="G27" s="52"/>
      <c r="I27" s="32"/>
      <c r="AS27" s="84"/>
      <c r="AT27" s="83"/>
      <c r="AU27" s="84"/>
      <c r="AV27" s="84"/>
      <c r="AW27" s="83"/>
    </row>
    <row r="28" spans="1:49" ht="16" x14ac:dyDescent="0.2">
      <c r="B28" s="32"/>
      <c r="C28" s="52"/>
      <c r="F28" s="32"/>
      <c r="G28" s="52"/>
    </row>
    <row r="29" spans="1:49" ht="16" x14ac:dyDescent="0.2">
      <c r="B29" s="32"/>
      <c r="C29" s="52"/>
      <c r="F29" s="32"/>
      <c r="G29" s="52"/>
    </row>
    <row r="30" spans="1:49" ht="16" x14ac:dyDescent="0.2">
      <c r="B30" s="32"/>
      <c r="C30" s="52"/>
      <c r="F30" s="32"/>
      <c r="G30" s="52"/>
    </row>
    <row r="31" spans="1:49" ht="16" x14ac:dyDescent="0.2">
      <c r="B31" s="32"/>
      <c r="C31" s="52"/>
      <c r="F31" s="32"/>
      <c r="G31" s="52"/>
    </row>
    <row r="32" spans="1:49" ht="16" x14ac:dyDescent="0.2">
      <c r="B32" s="32"/>
      <c r="C32" s="52"/>
      <c r="F32" s="32"/>
      <c r="G32" s="52"/>
    </row>
    <row r="33" spans="2:7" ht="16" x14ac:dyDescent="0.2">
      <c r="B33" s="32"/>
      <c r="C33" s="52"/>
      <c r="F33" s="32"/>
      <c r="G33" s="52"/>
    </row>
    <row r="34" spans="2:7" ht="16" x14ac:dyDescent="0.2">
      <c r="B34" s="32"/>
      <c r="C34" s="52"/>
      <c r="F34" s="32"/>
      <c r="G34" s="52"/>
    </row>
    <row r="35" spans="2:7" ht="16" x14ac:dyDescent="0.2">
      <c r="B35" s="32"/>
      <c r="C35" s="52"/>
      <c r="F35" s="32"/>
      <c r="G35" s="52"/>
    </row>
    <row r="36" spans="2:7" ht="16" x14ac:dyDescent="0.2">
      <c r="B36" s="32"/>
      <c r="C36" s="52"/>
      <c r="F36" s="32"/>
      <c r="G36" s="52"/>
    </row>
    <row r="37" spans="2:7" ht="16" x14ac:dyDescent="0.2">
      <c r="B37" s="32"/>
      <c r="C37" s="52"/>
      <c r="F37" s="32"/>
      <c r="G37" s="52"/>
    </row>
    <row r="38" spans="2:7" ht="16" x14ac:dyDescent="0.2">
      <c r="B38" s="32"/>
      <c r="C38" s="52"/>
      <c r="F38" s="32"/>
      <c r="G38" s="52"/>
    </row>
    <row r="39" spans="2:7" ht="16" x14ac:dyDescent="0.2">
      <c r="B39" s="32"/>
      <c r="C39" s="52"/>
      <c r="F39" s="32"/>
      <c r="G39" s="52"/>
    </row>
    <row r="40" spans="2:7" ht="16" x14ac:dyDescent="0.2">
      <c r="B40" s="32"/>
      <c r="C40" s="52"/>
      <c r="F40" s="32"/>
      <c r="G40" s="52"/>
    </row>
    <row r="41" spans="2:7" ht="16" x14ac:dyDescent="0.2">
      <c r="B41" s="32"/>
      <c r="C41" s="52"/>
      <c r="F41" s="32"/>
      <c r="G41" s="52"/>
    </row>
    <row r="42" spans="2:7" ht="16" x14ac:dyDescent="0.2">
      <c r="B42" s="32"/>
      <c r="C42" s="52"/>
      <c r="F42" s="32"/>
      <c r="G42" s="52"/>
    </row>
    <row r="43" spans="2:7" ht="16" x14ac:dyDescent="0.2">
      <c r="B43" s="32"/>
      <c r="C43" s="52"/>
      <c r="F43" s="32"/>
      <c r="G43" s="52"/>
    </row>
    <row r="44" spans="2:7" ht="16" x14ac:dyDescent="0.2">
      <c r="B44" s="32"/>
      <c r="C44" s="52"/>
      <c r="F44" s="32"/>
      <c r="G44" s="52"/>
    </row>
    <row r="45" spans="2:7" ht="16" x14ac:dyDescent="0.2">
      <c r="B45" s="32"/>
      <c r="C45" s="52"/>
      <c r="F45" s="32"/>
      <c r="G45" s="52"/>
    </row>
    <row r="46" spans="2:7" ht="16" x14ac:dyDescent="0.2">
      <c r="B46" s="32"/>
      <c r="C46" s="52"/>
      <c r="F46" s="32"/>
      <c r="G46" s="52"/>
    </row>
  </sheetData>
  <mergeCells count="3">
    <mergeCell ref="AD1:AM1"/>
    <mergeCell ref="R2:W2"/>
    <mergeCell ref="Y2:AB2"/>
  </mergeCells>
  <pageMargins left="0.75" right="0.75" top="1" bottom="1" header="0.5" footer="0.5"/>
  <headerFooter alignWithMargins="0"/>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Glossary</vt:lpstr>
      <vt:lpstr>Inputs&gt;&gt;</vt:lpstr>
      <vt:lpstr>mortality</vt:lpstr>
      <vt:lpstr>Avg Premium</vt:lpstr>
      <vt:lpstr>Model&gt;&gt;</vt:lpstr>
      <vt:lpstr>WLI_example</vt:lpstr>
      <vt:lpstr>WLI</vt:lpstr>
      <vt:lpstr>T20_example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Arneet Kalra</dc:creator>
  <cp:lastModifiedBy>Arneet Kalra</cp:lastModifiedBy>
  <dcterms:created xsi:type="dcterms:W3CDTF">2024-03-16T10:03:14Z</dcterms:created>
  <dcterms:modified xsi:type="dcterms:W3CDTF">2024-03-16T11:56:12Z</dcterms:modified>
</cp:coreProperties>
</file>